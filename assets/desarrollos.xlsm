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860C26FA-DD37-4C9F-8405-7A3CE83DD1FE}" xr6:coauthVersionLast="47" xr6:coauthVersionMax="47" xr10:uidLastSave="{00000000-0000-0000-0000-000000000000}"/>
  <bookViews>
    <workbookView xWindow="-120" yWindow="-120" windowWidth="20730" windowHeight="11160" activeTab="1" xr2:uid="{AF5CDD77-3838-4710-9E18-77490520BFEC}"/>
  </bookViews>
  <sheets>
    <sheet name="Olmos" sheetId="7" r:id="rId1"/>
    <sheet name="Sauceda" sheetId="8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8" l="1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5" i="7"/>
  <c r="H4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CC3F1D32-588E-4635-93DE-4EF502CB9050}" name="lotes1" type="4" refreshedVersion="0" background="1">
    <webPr xml="1" sourceData="1" url="D:\Dropbox (Personal)\Proyectos\Filosterra\website-dev\assets\desarrollos\sauceda\lotes.xml" htmlTables="1" htmlFormat="all"/>
  </connection>
  <connection id="7" xr16:uid="{DC319E61-FD43-4C88-9EBD-7917465F8480}" name="lotes2" type="4" refreshedVersion="0" background="1">
    <webPr xml="1" sourceData="1" url="D:\Dropbox (Personal)\Proyectos\Filosterra\website-dev\assets\desarrollos\olmos\lotes.xml" htmlTables="1" htmlFormat="all"/>
  </connection>
  <connection id="8" xr16:uid="{832E4D01-6B48-482F-821D-177A1685A3B5}" name="lotes3" type="4" refreshedVersion="0" background="1">
    <webPr xml="1" sourceData="1" url="D:\Dropbox (Personal)\Proyectos\Filosterra\website-dev\assets\desarrollos\zarzuela\lotes.xml" htmlTables="1" htmlFormat="all"/>
  </connection>
  <connection id="9" xr16:uid="{55631A5F-683B-4A01-B1A1-075972A2A9FE}" name="model" type="4" refreshedVersion="0" background="1">
    <webPr xml="1" sourceData="1" url="D:\Dropbox (Personal)\Proyectos\Filosterra\website-dev\assets\model.xml" htmlTables="1" htmlFormat="all"/>
  </connection>
  <connection id="10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11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12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13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4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5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6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7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8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9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20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21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22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23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4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5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6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7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8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9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30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31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32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<sst xmlns="http://schemas.openxmlformats.org/spreadsheetml/2006/main" count="350" uniqueCount="54">
  <si>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</si>
  <si>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</si>
  <si>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</si>
  <si>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</si>
  <si>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</si>
  <si>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</si>
  <si>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</si>
  <si>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</si>
  <si>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</si>
  <si>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</si>
  <si>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</si>
  <si>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</si>
  <si>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</si>
  <si>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</si>
  <si>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</si>
  <si>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</si>
  <si>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</si>
  <si>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</si>
  <si>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</si>
  <si>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</si>
  <si>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</si>
  <si>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</si>
  <si>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</si>
  <si>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</si>
  <si>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</si>
  <si>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</si>
  <si>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</si>
  <si>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</si>
  <si>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</si>
  <si>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</si>
  <si>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</si>
  <si>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</si>
  <si>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</si>
  <si>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</si>
  <si>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</si>
  <si>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</si>
  <si>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</si>
  <si>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</si>
  <si>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</si>
  <si>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</si>
  <si>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</si>
  <si>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</si>
  <si>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</si>
  <si>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</si>
  <si>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</si>
  <si>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</si>
  <si>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</si>
  <si>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</si>
  <si>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</si>
  <si>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</si>
  <si>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Apartado</t>
  </si>
  <si>
    <t>18a</t>
  </si>
  <si>
    <t>18b</t>
  </si>
  <si>
    <t>18c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</si>
</sst>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string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  <xsd:attribute name="Status" form="unqualified" type="xsd:string"/>
              </xsd:complexType>
            </xsd:element>
          </xsd:sequence>
        </xsd:complexType>
      </xsd:element>
    </xsd:schema>
  </Schema>
  <Map ID="14" Name="Map_Olmos" RootElement="data" SchemaID="Schema8" ShowImportExportValidationErrors="false" AutoFit="true" Append="false" PreserveSortAFLayout="true" PreserveFormat="true">
    <DataBinding FileBinding="true" ConnectionID="7" DataBindingLoadMode="1"/>
  </Map>
  <Map ID="13" Name="Map_Sauceda" RootElement="data" SchemaID="Schema7" ShowImportExportValidationErrors="false" AutoFit="true" Append="false" PreserveSortAFLayout="true" PreserveFormat="true">
    <DataBinding FileBinding="true" ConnectionID="6" DataBindingLoadMode="1"/>
  </Map>
  <Map ID="15" Name="Map_Zarzuela" RootElement="data" SchemaID="Schema9" ShowImportExportValidationErrors="false" AutoFit="true" Append="false" PreserveSortAFLayout="true" PreserveFormat="true">
    <DataBinding FileBinding="true" ConnectionID="8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923798-A915-4C31-936A-C424F1FBEA7C}" name="Borrar4" displayName="Borrar4" ref="A3:H37" tableType="xml" totalsRowShown="0" connectionId="7">
  <autoFilter ref="A3:H37" xr:uid="{B6F4573A-8CB9-4F04-8F16-AA6CA6F4BB1D}"/>
  <tableColumns count="8">
    <tableColumn id="1" xr3:uid="{BF238525-98B2-41AE-BEF4-AC93FA7D0982}" uniqueName="Id" name="Id" dataDxfId="13">
      <xmlColumnPr mapId="14" xpath="/data/item/@Id" xmlDataType="integer"/>
    </tableColumn>
    <tableColumn id="9" xr3:uid="{E0ED788B-9310-443E-974C-78E6241A3438}" uniqueName="Etapa" name="Etapa" dataDxfId="12">
      <xmlColumnPr mapId="14" xpath="/data/item/@Etapa" xmlDataType="integer"/>
    </tableColumn>
    <tableColumn id="7" xr3:uid="{DDC3EBDE-A23C-4566-812A-4D66BE778F18}" uniqueName="Manzana" name="Manzana" dataDxfId="11">
      <xmlColumnPr mapId="14" xpath="/data/item/@Manzana" xmlDataType="integer"/>
    </tableColumn>
    <tableColumn id="6" xr3:uid="{FF51306E-A080-44CA-8954-3463C5DB41CE}" uniqueName="Lote" name="Lote" dataDxfId="10">
      <xmlColumnPr mapId="14" xpath="/data/item/@Lote" xmlDataType="integer"/>
    </tableColumn>
    <tableColumn id="4" xr3:uid="{36D755D9-32AE-450C-ADAF-3C956EBA3BE9}" uniqueName="Status" name="Estatus" dataDxfId="9">
      <xmlColumnPr mapId="14" xpath="/data/item/@Status" xmlDataType="string"/>
    </tableColumn>
    <tableColumn id="2" xr3:uid="{470FC77F-720C-407B-9BA1-05E40A4E0104}" uniqueName="Terreno" name="Area m2">
      <xmlColumnPr mapId="14" xpath="/data/item/@Terreno" xmlDataType="double"/>
    </tableColumn>
    <tableColumn id="5" xr3:uid="{38EAFB67-AAE7-4CCD-B5D4-CA278D5D329D}" uniqueName="PrecioUnitario" name="Precio m2" dataDxfId="8">
      <xmlColumnPr mapId="14" xpath="/data/item/@PrecioUnitario" xmlDataType="integer"/>
    </tableColumn>
    <tableColumn id="3" xr3:uid="{711EA2AE-503C-4E68-9B78-91E7342F82FF}" uniqueName="PrecioVenta" name="Precio venta" dataDxfId="7">
      <xmlColumnPr mapId="14" xpath="/data/item/@PrecioVenta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7108A-A12F-4323-847E-7584BD02DE76}" name="Borrar" displayName="Borrar" ref="A3:H38" tableType="xml" totalsRowShown="0" connectionId="6">
  <autoFilter ref="A3:H38" xr:uid="{B6F4573A-8CB9-4F04-8F16-AA6CA6F4BB1D}"/>
  <tableColumns count="8">
    <tableColumn id="1" xr3:uid="{9ADACF37-6CD5-44BA-9A05-707FB3B0CC72}" uniqueName="Id" name="Id" dataDxfId="6">
      <xmlColumnPr mapId="13" xpath="/data/item/@Id" xmlDataType="string"/>
    </tableColumn>
    <tableColumn id="9" xr3:uid="{BBB523CF-BAC5-417B-A547-14E03E8FDC6B}" uniqueName="Etapa" name="Etapa" dataDxfId="5">
      <xmlColumnPr mapId="13" xpath="/data/item/@Etapa" xmlDataType="integer"/>
    </tableColumn>
    <tableColumn id="7" xr3:uid="{8780B114-E40D-418F-93C6-6733A4DCD71A}" uniqueName="Manzana" name="Manzana" dataDxfId="4">
      <xmlColumnPr mapId="13" xpath="/data/item/@Manzana" xmlDataType="integer"/>
    </tableColumn>
    <tableColumn id="6" xr3:uid="{B0FA6774-9838-494A-9F9B-DDA820DCDBA9}" uniqueName="Lote" name="Lote" dataDxfId="3">
      <xmlColumnPr mapId="13" xpath="/data/item/@Lote" xmlDataType="string"/>
    </tableColumn>
    <tableColumn id="4" xr3:uid="{738E9F88-F347-465D-9AEB-CA959C0E0685}" uniqueName="Status" name="Estatus" dataDxfId="2">
      <xmlColumnPr mapId="13" xpath="/data/item/@Status" xmlDataType="string"/>
    </tableColumn>
    <tableColumn id="2" xr3:uid="{6FB7ACCF-A59B-40E0-B986-049683F849BB}" uniqueName="Terreno" name="Area m2">
      <xmlColumnPr mapId="13" xpath="/data/item/@Terreno" xmlDataType="double"/>
    </tableColumn>
    <tableColumn id="5" xr3:uid="{09392F4A-3D51-403C-97CB-AE9381080FAB}" uniqueName="PrecioUnitario" name="Precio m2" dataDxfId="1">
      <xmlColumnPr mapId="13" xpath="/data/item/@PrecioUnitario" xmlDataType="integer"/>
    </tableColumn>
    <tableColumn id="3" xr3:uid="{AEF7A989-B23B-443B-8524-9E31DCD592C2}" uniqueName="PrecioVenta" name="Precio venta" dataDxfId="0">
      <calculatedColumnFormula>Borrar[[#This Row],[Area m2]]*Borrar[[#This Row],[Precio m2]]</calculatedColumnFormula>
      <xmlColumnPr mapId="13" xpath="/data/item/@PrecioVenta" xmlDataType="integer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8">
  <autoFilter ref="A3:H181" xr:uid="{B6F4573A-8CB9-4F04-8F16-AA6CA6F4BB1D}"/>
  <tableColumns count="8">
    <tableColumn id="1" xr3:uid="{5E3E8286-22DF-4AB6-93FA-CD478EFEFAF8}" uniqueName="Id" name="Id" dataDxfId="20">
      <xmlColumnPr mapId="15" xpath="/data/item/@Id" xmlDataType="integer"/>
    </tableColumn>
    <tableColumn id="9" xr3:uid="{334EFEAD-A13E-42C5-80B1-EC0E9E8FAE99}" uniqueName="Etapa" name="Etapa" dataDxfId="19">
      <xmlColumnPr mapId="15" xpath="/data/item/@Etapa" xmlDataType="integer"/>
    </tableColumn>
    <tableColumn id="7" xr3:uid="{E9D8E744-478F-4CB2-8F45-FD360F6AE746}" uniqueName="Manzana" name="Manzana" dataDxfId="18">
      <xmlColumnPr mapId="15" xpath="/data/item/@Manzana" xmlDataType="integer"/>
    </tableColumn>
    <tableColumn id="6" xr3:uid="{0BC85D3D-EB5C-4E40-B95B-6AC5EAF2D4C9}" uniqueName="Lote" name="Lote" dataDxfId="17">
      <xmlColumnPr mapId="15" xpath="/data/item/@Lote" xmlDataType="integer"/>
    </tableColumn>
    <tableColumn id="4" xr3:uid="{E9EECBFF-4D2F-4215-824A-9155190F00B2}" uniqueName="Status" name="Estatus" dataDxfId="16">
      <xmlColumnPr mapId="15" xpath="/data/item/@Status" xmlDataType="string"/>
    </tableColumn>
    <tableColumn id="2" xr3:uid="{AE0D03C1-5288-4FDE-8983-A11B5BC6F2C4}" uniqueName="Terreno" name="Area m2">
      <xmlColumnPr mapId="15" xpath="/data/item/@Terreno" xmlDataType="double"/>
    </tableColumn>
    <tableColumn id="5" xr3:uid="{C22CF99F-2FB3-4D62-9654-AF9099CF4624}" uniqueName="PrecioUnitario" name="Precio m2" dataDxfId="15">
      <xmlColumnPr mapId="15" xpath="/data/item/@PrecioUnitario" xmlDataType="integer"/>
    </tableColumn>
    <tableColumn id="3" xr3:uid="{0D43D1E0-41D8-46A0-B8A8-2711BE24909B}" uniqueName="PrecioVenta" name="Precio venta" dataDxfId="14">
      <calculatedColumnFormula>Borrar5[[#This Row],[Area m2]]*Borrar5[[#This Row],[Precio m2]]</calculatedColumnFormula>
      <xmlColumnPr mapId="15" xpath="/data/item/@PrecioVenta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42DD-5258-438E-A190-7E697152C649}">
  <sheetPr codeName="Sheet3"/>
  <dimension ref="A1:H37"/>
  <sheetViews>
    <sheetView topLeftCell="A3" workbookViewId="0">
      <selection activeCell="J3" sqref="J3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>
        <v>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>
        <v>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>
        <v>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>
        <v>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>
        <v>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>
        <v>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>
        <v>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>
        <v>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>
        <v>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>
        <v>1</v>
      </c>
      <c r="C14" s="5">
        <v>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>
        <v>12</v>
      </c>
      <c r="B15" s="5">
        <v>1</v>
      </c>
      <c r="C15" s="5">
        <v>1</v>
      </c>
      <c r="D15" s="5">
        <v>12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>
        <v>13</v>
      </c>
      <c r="B16" s="5">
        <v>1</v>
      </c>
      <c r="C16" s="5">
        <v>1</v>
      </c>
      <c r="D16" s="5">
        <v>13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>
        <v>14</v>
      </c>
      <c r="B17" s="5">
        <v>1</v>
      </c>
      <c r="C17" s="5">
        <v>1</v>
      </c>
      <c r="D17" s="5">
        <v>14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>
        <v>1</v>
      </c>
      <c r="C18" s="5">
        <v>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>
        <v>1</v>
      </c>
      <c r="C19" s="5">
        <v>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>
        <v>1</v>
      </c>
      <c r="C20" s="5">
        <v>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 t="s">
        <v>51</v>
      </c>
      <c r="B21" s="5">
        <v>1</v>
      </c>
      <c r="C21" s="5">
        <v>1</v>
      </c>
      <c r="D21" s="5" t="s">
        <v>51</v>
      </c>
      <c r="E21" s="1" t="s">
        <v>3</v>
      </c>
      <c r="F21">
        <v>139.91999999999999</v>
      </c>
      <c r="G21" s="3">
        <v>5800</v>
      </c>
      <c r="H21" s="2">
        <f>Borrar4[[#This Row],[Area m2]]*Borrar4[[#This Row],[Precio m2]]</f>
        <v>811535.99999999988</v>
      </c>
    </row>
    <row r="22" spans="1:8" x14ac:dyDescent="0.25">
      <c r="A22" s="5" t="s">
        <v>52</v>
      </c>
      <c r="B22" s="5">
        <v>1</v>
      </c>
      <c r="C22" s="5">
        <v>1</v>
      </c>
      <c r="D22" s="5" t="s">
        <v>52</v>
      </c>
      <c r="E22" s="1" t="s">
        <v>3</v>
      </c>
      <c r="F22">
        <v>215.84</v>
      </c>
      <c r="G22" s="3">
        <v>5800</v>
      </c>
      <c r="H22" s="2">
        <f>Borrar4[[#This Row],[Area m2]]*Borrar4[[#This Row],[Precio m2]]</f>
        <v>1251872</v>
      </c>
    </row>
    <row r="23" spans="1:8" x14ac:dyDescent="0.25">
      <c r="A23" s="5" t="s">
        <v>53</v>
      </c>
      <c r="B23" s="5">
        <v>1</v>
      </c>
      <c r="C23" s="5">
        <v>1</v>
      </c>
      <c r="D23" s="5" t="s">
        <v>53</v>
      </c>
      <c r="E23" s="1" t="s">
        <v>3</v>
      </c>
      <c r="F23">
        <v>119.37</v>
      </c>
      <c r="G23" s="3">
        <v>5800</v>
      </c>
      <c r="H23" s="2">
        <f>Borrar4[[#This Row],[Area m2]]*Borrar4[[#This Row],[Precio m2]]</f>
        <v>692346</v>
      </c>
    </row>
    <row r="24" spans="1:8" x14ac:dyDescent="0.25">
      <c r="A24" s="5">
        <v>19</v>
      </c>
      <c r="B24" s="5">
        <v>1</v>
      </c>
      <c r="C24" s="5">
        <v>1</v>
      </c>
      <c r="D24" s="5">
        <v>19</v>
      </c>
      <c r="E24" s="1" t="s">
        <v>3</v>
      </c>
      <c r="F24">
        <v>232.4</v>
      </c>
      <c r="G24" s="3">
        <v>5800</v>
      </c>
      <c r="H24" s="2">
        <f>Borrar4[[#This Row],[Area m2]]*Borrar4[[#This Row],[Precio m2]]</f>
        <v>1347920</v>
      </c>
    </row>
    <row r="25" spans="1:8" x14ac:dyDescent="0.25">
      <c r="A25" s="5">
        <v>20</v>
      </c>
      <c r="B25" s="5">
        <v>1</v>
      </c>
      <c r="C25" s="5">
        <v>1</v>
      </c>
      <c r="D25" s="5">
        <v>20</v>
      </c>
      <c r="E25" s="1" t="s">
        <v>3</v>
      </c>
      <c r="F25">
        <v>203.29</v>
      </c>
      <c r="G25" s="3">
        <v>5800</v>
      </c>
      <c r="H25" s="2">
        <f>Borrar4[[#This Row],[Area m2]]*Borrar4[[#This Row],[Precio m2]]</f>
        <v>1179082</v>
      </c>
    </row>
    <row r="26" spans="1:8" x14ac:dyDescent="0.25">
      <c r="A26" s="5">
        <v>21</v>
      </c>
      <c r="B26" s="5">
        <v>1</v>
      </c>
      <c r="C26" s="5">
        <v>1</v>
      </c>
      <c r="D26" s="5">
        <v>21</v>
      </c>
      <c r="E26" s="1" t="s">
        <v>3</v>
      </c>
      <c r="F26">
        <v>134.72</v>
      </c>
      <c r="G26" s="3">
        <v>5800</v>
      </c>
      <c r="H26" s="2">
        <f>Borrar4[[#This Row],[Area m2]]*Borrar4[[#This Row],[Precio m2]]</f>
        <v>781376</v>
      </c>
    </row>
    <row r="27" spans="1:8" x14ac:dyDescent="0.25">
      <c r="A27" s="5">
        <v>22</v>
      </c>
      <c r="B27" s="5">
        <v>1</v>
      </c>
      <c r="C27" s="5">
        <v>1</v>
      </c>
      <c r="D27" s="5">
        <v>22</v>
      </c>
      <c r="E27" s="1" t="s">
        <v>2</v>
      </c>
      <c r="F27">
        <v>136.33000000000001</v>
      </c>
      <c r="G27" s="3">
        <v>5800</v>
      </c>
      <c r="H27" s="2">
        <f>Borrar4[[#This Row],[Area m2]]*Borrar4[[#This Row],[Precio m2]]</f>
        <v>790714.00000000012</v>
      </c>
    </row>
    <row r="28" spans="1:8" x14ac:dyDescent="0.25">
      <c r="A28" s="5">
        <v>23</v>
      </c>
      <c r="B28" s="5">
        <v>1</v>
      </c>
      <c r="C28" s="5">
        <v>1</v>
      </c>
      <c r="D28" s="5">
        <v>23</v>
      </c>
      <c r="E28" s="1" t="s">
        <v>3</v>
      </c>
      <c r="F28">
        <v>137.49</v>
      </c>
      <c r="G28" s="3">
        <v>5800</v>
      </c>
      <c r="H28" s="2">
        <f>Borrar4[[#This Row],[Area m2]]*Borrar4[[#This Row],[Precio m2]]</f>
        <v>797442</v>
      </c>
    </row>
    <row r="29" spans="1:8" x14ac:dyDescent="0.25">
      <c r="A29" s="5">
        <v>24</v>
      </c>
      <c r="B29" s="5">
        <v>1</v>
      </c>
      <c r="C29" s="5">
        <v>1</v>
      </c>
      <c r="D29" s="5">
        <v>24</v>
      </c>
      <c r="E29" s="1" t="s">
        <v>3</v>
      </c>
      <c r="F29">
        <v>138.65</v>
      </c>
      <c r="G29" s="3">
        <v>5800</v>
      </c>
      <c r="H29" s="2">
        <f>Borrar4[[#This Row],[Area m2]]*Borrar4[[#This Row],[Precio m2]]</f>
        <v>804170</v>
      </c>
    </row>
    <row r="30" spans="1:8" x14ac:dyDescent="0.25">
      <c r="A30" s="5">
        <v>25</v>
      </c>
      <c r="B30" s="5">
        <v>1</v>
      </c>
      <c r="C30" s="5">
        <v>1</v>
      </c>
      <c r="D30" s="5">
        <v>25</v>
      </c>
      <c r="E30" s="1" t="s">
        <v>2</v>
      </c>
      <c r="F30">
        <v>139.81</v>
      </c>
      <c r="G30" s="3">
        <v>5800</v>
      </c>
      <c r="H30" s="2">
        <f>Borrar4[[#This Row],[Area m2]]*Borrar4[[#This Row],[Precio m2]]</f>
        <v>810898</v>
      </c>
    </row>
    <row r="31" spans="1:8" x14ac:dyDescent="0.25">
      <c r="A31" s="5">
        <v>26</v>
      </c>
      <c r="B31" s="5">
        <v>1</v>
      </c>
      <c r="C31" s="5">
        <v>1</v>
      </c>
      <c r="D31" s="5">
        <v>26</v>
      </c>
      <c r="E31" s="1" t="s">
        <v>3</v>
      </c>
      <c r="F31">
        <v>140.97</v>
      </c>
      <c r="G31" s="3">
        <v>5800</v>
      </c>
      <c r="H31" s="2">
        <f>Borrar4[[#This Row],[Area m2]]*Borrar4[[#This Row],[Precio m2]]</f>
        <v>817626</v>
      </c>
    </row>
    <row r="32" spans="1:8" x14ac:dyDescent="0.25">
      <c r="A32" s="5">
        <v>27</v>
      </c>
      <c r="B32" s="5">
        <v>1</v>
      </c>
      <c r="C32" s="5">
        <v>1</v>
      </c>
      <c r="D32" s="5">
        <v>27</v>
      </c>
      <c r="E32" s="1" t="s">
        <v>3</v>
      </c>
      <c r="F32">
        <v>142.13</v>
      </c>
      <c r="G32" s="3">
        <v>5800</v>
      </c>
      <c r="H32" s="2">
        <f>Borrar4[[#This Row],[Area m2]]*Borrar4[[#This Row],[Precio m2]]</f>
        <v>824354</v>
      </c>
    </row>
    <row r="33" spans="1:8" x14ac:dyDescent="0.25">
      <c r="A33" s="5">
        <v>28</v>
      </c>
      <c r="B33" s="5">
        <v>1</v>
      </c>
      <c r="C33" s="5">
        <v>1</v>
      </c>
      <c r="D33" s="5">
        <v>28</v>
      </c>
      <c r="E33" s="1" t="s">
        <v>3</v>
      </c>
      <c r="F33">
        <v>143.29</v>
      </c>
      <c r="G33" s="3">
        <v>5800</v>
      </c>
      <c r="H33" s="2">
        <f>Borrar4[[#This Row],[Area m2]]*Borrar4[[#This Row],[Precio m2]]</f>
        <v>831082</v>
      </c>
    </row>
    <row r="34" spans="1:8" x14ac:dyDescent="0.25">
      <c r="A34" s="5">
        <v>29</v>
      </c>
      <c r="B34" s="5">
        <v>1</v>
      </c>
      <c r="C34" s="5">
        <v>1</v>
      </c>
      <c r="D34" s="5">
        <v>29</v>
      </c>
      <c r="E34" s="1" t="s">
        <v>3</v>
      </c>
      <c r="F34">
        <v>144.44999999999999</v>
      </c>
      <c r="G34" s="3">
        <v>5800</v>
      </c>
      <c r="H34" s="2">
        <f>Borrar4[[#This Row],[Area m2]]*Borrar4[[#This Row],[Precio m2]]</f>
        <v>837809.99999999988</v>
      </c>
    </row>
    <row r="35" spans="1:8" x14ac:dyDescent="0.25">
      <c r="A35" s="5">
        <v>30</v>
      </c>
      <c r="B35" s="5">
        <v>1</v>
      </c>
      <c r="C35" s="5">
        <v>1</v>
      </c>
      <c r="D35" s="5">
        <v>30</v>
      </c>
      <c r="E35" s="1" t="s">
        <v>3</v>
      </c>
      <c r="F35">
        <v>145.62</v>
      </c>
      <c r="G35" s="3">
        <v>5800</v>
      </c>
      <c r="H35" s="2">
        <f>Borrar4[[#This Row],[Area m2]]*Borrar4[[#This Row],[Precio m2]]</f>
        <v>844596</v>
      </c>
    </row>
    <row r="36" spans="1:8" x14ac:dyDescent="0.25">
      <c r="A36" s="5">
        <v>31</v>
      </c>
      <c r="B36" s="5">
        <v>1</v>
      </c>
      <c r="C36" s="5">
        <v>1</v>
      </c>
      <c r="D36" s="5">
        <v>31</v>
      </c>
      <c r="E36" s="1" t="s">
        <v>3</v>
      </c>
      <c r="F36">
        <v>146.53</v>
      </c>
      <c r="G36" s="3">
        <v>5800</v>
      </c>
      <c r="H36" s="2">
        <f>Borrar4[[#This Row],[Area m2]]*Borrar4[[#This Row],[Precio m2]]</f>
        <v>849874</v>
      </c>
    </row>
    <row r="37" spans="1:8" x14ac:dyDescent="0.25">
      <c r="A37" s="5">
        <v>32</v>
      </c>
      <c r="B37" s="5">
        <v>1</v>
      </c>
      <c r="C37" s="5">
        <v>1</v>
      </c>
      <c r="D37" s="5">
        <v>32</v>
      </c>
      <c r="E37" s="1" t="s">
        <v>3</v>
      </c>
      <c r="F37">
        <v>169.39</v>
      </c>
      <c r="G37" s="3">
        <v>5800</v>
      </c>
      <c r="H37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316F67-6389-4B1B-8101-3C12ADF7D817}">
          <x14:formula1>
            <xm:f>'#Catalogs'!$A$3:$A$5</xm:f>
          </x14:formula1>
          <xm:sqref>E4:E37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ECD3-6BF7-4FE9-8EC4-7609B91B3814}">
  <sheetPr codeName="Sheet1"/>
  <dimension ref="A1:H38"/>
  <sheetViews>
    <sheetView tabSelected="1" workbookViewId="0">
      <selection activeCell="M8" sqref="M8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>
        <v>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 t="s">
        <v>12</v>
      </c>
      <c r="B5" s="5">
        <v>1</v>
      </c>
      <c r="C5" s="5">
        <v>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 t="s">
        <v>13</v>
      </c>
      <c r="B6" s="5">
        <v>1</v>
      </c>
      <c r="C6" s="5">
        <v>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 t="s">
        <v>14</v>
      </c>
      <c r="B7" s="5">
        <v>1</v>
      </c>
      <c r="C7" s="5">
        <v>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 t="s">
        <v>15</v>
      </c>
      <c r="B8" s="5">
        <v>1</v>
      </c>
      <c r="C8" s="5">
        <v>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 t="s">
        <v>16</v>
      </c>
      <c r="B9" s="5">
        <v>1</v>
      </c>
      <c r="C9" s="5">
        <v>1</v>
      </c>
      <c r="D9" s="5" t="s">
        <v>16</v>
      </c>
      <c r="E9" s="1" t="s">
        <v>2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 t="s">
        <v>17</v>
      </c>
      <c r="B10" s="5">
        <v>1</v>
      </c>
      <c r="C10" s="5">
        <v>1</v>
      </c>
      <c r="D10" s="5" t="s">
        <v>17</v>
      </c>
      <c r="E10" s="1" t="s">
        <v>2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 t="s">
        <v>18</v>
      </c>
      <c r="B11" s="5">
        <v>1</v>
      </c>
      <c r="C11" s="5">
        <v>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 t="s">
        <v>19</v>
      </c>
      <c r="B12" s="5">
        <v>1</v>
      </c>
      <c r="C12" s="5">
        <v>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 t="s">
        <v>20</v>
      </c>
      <c r="B13" s="5">
        <v>1</v>
      </c>
      <c r="C13" s="5">
        <v>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 t="s">
        <v>21</v>
      </c>
      <c r="B14" s="5">
        <v>1</v>
      </c>
      <c r="C14" s="5">
        <v>1</v>
      </c>
      <c r="D14" s="5" t="s">
        <v>21</v>
      </c>
      <c r="E14" s="1" t="s">
        <v>2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 t="s">
        <v>22</v>
      </c>
      <c r="B15" s="5">
        <v>1</v>
      </c>
      <c r="C15" s="5">
        <v>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 t="s">
        <v>23</v>
      </c>
      <c r="B16" s="5">
        <v>1</v>
      </c>
      <c r="C16" s="5">
        <v>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 t="s">
        <v>24</v>
      </c>
      <c r="B17" s="5">
        <v>1</v>
      </c>
      <c r="C17" s="5">
        <v>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 t="s">
        <v>25</v>
      </c>
      <c r="B18" s="5">
        <v>1</v>
      </c>
      <c r="C18" s="5">
        <v>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>
        <v>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>
        <v>1</v>
      </c>
      <c r="D20" s="5" t="s">
        <v>27</v>
      </c>
      <c r="E20" s="1" t="s">
        <v>2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>
        <v>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>
        <v>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>
        <v>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>
        <v>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>
        <v>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>
        <v>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>
        <v>1</v>
      </c>
      <c r="D27" s="5" t="s">
        <v>34</v>
      </c>
      <c r="E27" s="1" t="s">
        <v>3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>
        <v>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>
        <v>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>
        <v>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>
        <v>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>
        <v>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>
        <v>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>
        <v>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>
        <v>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>
        <v>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>
        <v>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>
        <v>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95DE1D-0EF6-43AB-9F9F-B76649EDADA2}">
          <x14:formula1>
            <xm:f>'#Catalogs'!$A$3:$A$5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workbookViewId="0">
      <selection activeCell="E167" sqref="E167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2</v>
      </c>
      <c r="D4" s="5">
        <v>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>
        <v>2</v>
      </c>
      <c r="B5" s="5">
        <v>1</v>
      </c>
      <c r="C5" s="5">
        <v>2</v>
      </c>
      <c r="D5" s="5">
        <v>2</v>
      </c>
      <c r="E5" s="1" t="s">
        <v>50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>
        <v>3</v>
      </c>
      <c r="B6" s="5">
        <v>1</v>
      </c>
      <c r="C6" s="5">
        <v>2</v>
      </c>
      <c r="D6" s="5">
        <v>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>
        <v>4</v>
      </c>
      <c r="B7" s="5">
        <v>1</v>
      </c>
      <c r="C7" s="5">
        <v>2</v>
      </c>
      <c r="D7" s="5">
        <v>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>
        <v>5</v>
      </c>
      <c r="B8" s="5">
        <v>1</v>
      </c>
      <c r="C8" s="5">
        <v>2</v>
      </c>
      <c r="D8" s="5">
        <v>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>
        <v>6</v>
      </c>
      <c r="B9" s="5">
        <v>1</v>
      </c>
      <c r="C9" s="5">
        <v>2</v>
      </c>
      <c r="D9" s="5">
        <v>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>
        <v>7</v>
      </c>
      <c r="B10" s="5">
        <v>1</v>
      </c>
      <c r="C10" s="5">
        <v>2</v>
      </c>
      <c r="D10" s="5">
        <v>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>
        <v>8</v>
      </c>
      <c r="B11" s="5">
        <v>1</v>
      </c>
      <c r="C11" s="5">
        <v>2</v>
      </c>
      <c r="D11" s="5">
        <v>8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>
        <v>9</v>
      </c>
      <c r="B12" s="5">
        <v>1</v>
      </c>
      <c r="C12" s="5">
        <v>2</v>
      </c>
      <c r="D12" s="5">
        <v>9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>
        <v>10</v>
      </c>
      <c r="B13" s="5">
        <v>1</v>
      </c>
      <c r="C13" s="5">
        <v>2</v>
      </c>
      <c r="D13" s="5">
        <v>10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>
        <v>11</v>
      </c>
      <c r="B14" s="5">
        <v>1</v>
      </c>
      <c r="C14" s="5">
        <v>2</v>
      </c>
      <c r="D14" s="5">
        <v>11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>
        <v>12</v>
      </c>
      <c r="B15" s="5">
        <v>1</v>
      </c>
      <c r="C15" s="5">
        <v>2</v>
      </c>
      <c r="D15" s="5">
        <v>12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>
        <v>13</v>
      </c>
      <c r="B16" s="5">
        <v>1</v>
      </c>
      <c r="C16" s="5">
        <v>2</v>
      </c>
      <c r="D16" s="5">
        <v>13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>
        <v>14</v>
      </c>
      <c r="B17" s="5">
        <v>1</v>
      </c>
      <c r="C17" s="5">
        <v>2</v>
      </c>
      <c r="D17" s="5">
        <v>14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>
        <v>15</v>
      </c>
      <c r="B18" s="5">
        <v>1</v>
      </c>
      <c r="C18" s="5">
        <v>2</v>
      </c>
      <c r="D18" s="5">
        <v>15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>
        <v>16</v>
      </c>
      <c r="B19" s="5">
        <v>1</v>
      </c>
      <c r="C19" s="5">
        <v>2</v>
      </c>
      <c r="D19" s="5">
        <v>16</v>
      </c>
      <c r="E19" s="1" t="s">
        <v>2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>
        <v>17</v>
      </c>
      <c r="B20" s="5">
        <v>1</v>
      </c>
      <c r="C20" s="5">
        <v>2</v>
      </c>
      <c r="D20" s="5">
        <v>17</v>
      </c>
      <c r="E20" s="1" t="s">
        <v>2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>
        <v>18</v>
      </c>
      <c r="B21" s="5">
        <v>1</v>
      </c>
      <c r="C21" s="5">
        <v>2</v>
      </c>
      <c r="D21" s="5">
        <v>18</v>
      </c>
      <c r="E21" s="1" t="s">
        <v>2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>
        <v>19</v>
      </c>
      <c r="B22" s="5">
        <v>1</v>
      </c>
      <c r="C22" s="5">
        <v>2</v>
      </c>
      <c r="D22" s="5">
        <v>19</v>
      </c>
      <c r="E22" s="1" t="s">
        <v>2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>
        <v>20</v>
      </c>
      <c r="B23" s="5">
        <v>1</v>
      </c>
      <c r="C23" s="5">
        <v>2</v>
      </c>
      <c r="D23" s="5">
        <v>20</v>
      </c>
      <c r="E23" s="1" t="s">
        <v>2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>
        <v>21</v>
      </c>
      <c r="B24" s="5">
        <v>1</v>
      </c>
      <c r="C24" s="5">
        <v>2</v>
      </c>
      <c r="D24" s="5">
        <v>21</v>
      </c>
      <c r="E24" s="1" t="s">
        <v>50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>
        <v>22</v>
      </c>
      <c r="B25" s="5">
        <v>1</v>
      </c>
      <c r="C25" s="5">
        <v>2</v>
      </c>
      <c r="D25" s="5">
        <v>22</v>
      </c>
      <c r="E25" s="1" t="s">
        <v>50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>
        <v>23</v>
      </c>
      <c r="B26" s="5">
        <v>1</v>
      </c>
      <c r="C26" s="5">
        <v>2</v>
      </c>
      <c r="D26" s="5">
        <v>23</v>
      </c>
      <c r="E26" s="1" t="s">
        <v>50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>
        <v>24</v>
      </c>
      <c r="B27" s="5">
        <v>1</v>
      </c>
      <c r="C27" s="5">
        <v>2</v>
      </c>
      <c r="D27" s="5">
        <v>24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>
        <v>25</v>
      </c>
      <c r="B28" s="5">
        <v>1</v>
      </c>
      <c r="C28" s="5">
        <v>2</v>
      </c>
      <c r="D28" s="5">
        <v>25</v>
      </c>
      <c r="E28" s="1" t="s">
        <v>2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>
        <v>26</v>
      </c>
      <c r="B29" s="5">
        <v>1</v>
      </c>
      <c r="C29" s="5">
        <v>2</v>
      </c>
      <c r="D29" s="5">
        <v>26</v>
      </c>
      <c r="E29" s="1" t="s">
        <v>2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>
        <v>27</v>
      </c>
      <c r="B30" s="5">
        <v>1</v>
      </c>
      <c r="C30" s="5">
        <v>2</v>
      </c>
      <c r="D30" s="5">
        <v>27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>
        <v>28</v>
      </c>
      <c r="B31" s="5">
        <v>1</v>
      </c>
      <c r="C31" s="5">
        <v>2</v>
      </c>
      <c r="D31" s="5">
        <v>28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>
        <v>29</v>
      </c>
      <c r="B32" s="5">
        <v>1</v>
      </c>
      <c r="C32" s="5">
        <v>2</v>
      </c>
      <c r="D32" s="5">
        <v>29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>
        <v>30</v>
      </c>
      <c r="B33" s="5">
        <v>1</v>
      </c>
      <c r="C33" s="5">
        <v>2</v>
      </c>
      <c r="D33" s="5">
        <v>30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>
        <v>31</v>
      </c>
      <c r="B34" s="5">
        <v>1</v>
      </c>
      <c r="C34" s="5">
        <v>2</v>
      </c>
      <c r="D34" s="5">
        <v>31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>
        <v>32</v>
      </c>
      <c r="B35" s="5">
        <v>1</v>
      </c>
      <c r="C35" s="5">
        <v>2</v>
      </c>
      <c r="D35" s="5">
        <v>32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>
        <v>33</v>
      </c>
      <c r="B36" s="5">
        <v>1</v>
      </c>
      <c r="C36" s="5">
        <v>2</v>
      </c>
      <c r="D36" s="5">
        <v>33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>
        <v>34</v>
      </c>
      <c r="B37" s="5">
        <v>1</v>
      </c>
      <c r="C37" s="5">
        <v>2</v>
      </c>
      <c r="D37" s="5">
        <v>34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>
        <v>35</v>
      </c>
      <c r="B38" s="5">
        <v>1</v>
      </c>
      <c r="C38" s="5">
        <v>2</v>
      </c>
      <c r="D38" s="5">
        <v>35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>
        <v>2</v>
      </c>
      <c r="D39" s="5">
        <v>36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>
        <v>2</v>
      </c>
      <c r="D40" s="5">
        <v>37</v>
      </c>
      <c r="E40" s="1" t="s">
        <v>2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>
        <v>2</v>
      </c>
      <c r="D41" s="5">
        <v>38</v>
      </c>
      <c r="E41" s="1" t="s">
        <v>2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>
        <v>2</v>
      </c>
      <c r="D42" s="5">
        <v>39</v>
      </c>
      <c r="E42" s="1" t="s">
        <v>2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>
        <v>2</v>
      </c>
      <c r="D43" s="5">
        <v>40</v>
      </c>
      <c r="E43" s="1" t="s">
        <v>2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>
        <v>2</v>
      </c>
      <c r="D44" s="5">
        <v>41</v>
      </c>
      <c r="E44" s="1" t="s">
        <v>2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>
        <v>2</v>
      </c>
      <c r="D45" s="5">
        <v>42</v>
      </c>
      <c r="E45" s="1" t="s">
        <v>2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>
        <v>2</v>
      </c>
      <c r="D46" s="5">
        <v>43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>
        <v>2</v>
      </c>
      <c r="D47" s="5">
        <v>44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>
        <v>2</v>
      </c>
      <c r="D48" s="5">
        <v>45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>
        <v>2</v>
      </c>
      <c r="D49" s="5">
        <v>46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>
        <v>2</v>
      </c>
      <c r="D50" s="5">
        <v>47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>
        <v>2</v>
      </c>
      <c r="D51" s="5">
        <v>48</v>
      </c>
      <c r="E51" s="1" t="s">
        <v>2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>
        <v>2</v>
      </c>
      <c r="D52" s="5">
        <v>49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>
        <v>2</v>
      </c>
      <c r="D53" s="5">
        <v>50</v>
      </c>
      <c r="E53" s="1" t="s">
        <v>2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>
        <v>2</v>
      </c>
      <c r="D54" s="5">
        <v>51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>
        <v>2</v>
      </c>
      <c r="D55" s="5">
        <v>52</v>
      </c>
      <c r="E55" s="1" t="s">
        <v>2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>
        <v>2</v>
      </c>
      <c r="D56" s="5">
        <v>53</v>
      </c>
      <c r="E56" s="1" t="s">
        <v>2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>
        <v>3</v>
      </c>
      <c r="D57" s="5">
        <v>54</v>
      </c>
      <c r="E57" s="1" t="s">
        <v>50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>
        <v>3</v>
      </c>
      <c r="D58" s="5">
        <v>55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>
        <v>3</v>
      </c>
      <c r="D59" s="5">
        <v>56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>
        <v>3</v>
      </c>
      <c r="D60" s="5">
        <v>57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>
        <v>3</v>
      </c>
      <c r="D61" s="5">
        <v>58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>
        <v>3</v>
      </c>
      <c r="D62" s="5">
        <v>59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>
        <v>3</v>
      </c>
      <c r="D63" s="5">
        <v>60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>
        <v>3</v>
      </c>
      <c r="D64" s="5">
        <v>61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>
        <v>3</v>
      </c>
      <c r="D65" s="5">
        <v>62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>
        <v>3</v>
      </c>
      <c r="D66" s="5">
        <v>63</v>
      </c>
      <c r="E66" s="1" t="s">
        <v>50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>
        <v>3</v>
      </c>
      <c r="D67" s="5">
        <v>64</v>
      </c>
      <c r="E67" s="1" t="s">
        <v>50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>
        <v>3</v>
      </c>
      <c r="D68" s="5">
        <v>65</v>
      </c>
      <c r="E68" s="1" t="s">
        <v>2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>
        <v>3</v>
      </c>
      <c r="D69" s="5">
        <v>66</v>
      </c>
      <c r="E69" s="1" t="s">
        <v>2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>
        <v>3</v>
      </c>
      <c r="D70" s="5">
        <v>67</v>
      </c>
      <c r="E70" s="1" t="s">
        <v>2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>
        <v>3</v>
      </c>
      <c r="D71" s="5">
        <v>68</v>
      </c>
      <c r="E71" s="1" t="s">
        <v>50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>
        <v>3</v>
      </c>
      <c r="D72" s="5">
        <v>69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>
        <v>3</v>
      </c>
      <c r="D73" s="5">
        <v>70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>
        <v>3</v>
      </c>
      <c r="D74" s="5">
        <v>71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>
        <v>3</v>
      </c>
      <c r="D75" s="5">
        <v>72</v>
      </c>
      <c r="E75" s="1" t="s">
        <v>50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>
        <v>3</v>
      </c>
      <c r="D76" s="5">
        <v>73</v>
      </c>
      <c r="E76" s="1" t="s">
        <v>2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>
        <v>3</v>
      </c>
      <c r="D77" s="5">
        <v>74</v>
      </c>
      <c r="E77" s="1" t="s">
        <v>2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>
        <v>3</v>
      </c>
      <c r="D78" s="5">
        <v>75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>
        <v>3</v>
      </c>
      <c r="D79" s="5">
        <v>76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>
        <v>3</v>
      </c>
      <c r="D80" s="5">
        <v>77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>
        <v>3</v>
      </c>
      <c r="D81" s="5">
        <v>78</v>
      </c>
      <c r="E81" s="1" t="s">
        <v>2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>
        <v>3</v>
      </c>
      <c r="D82" s="5">
        <v>79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>
        <v>3</v>
      </c>
      <c r="D83" s="5">
        <v>80</v>
      </c>
      <c r="E83" s="1" t="s">
        <v>2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>
        <v>3</v>
      </c>
      <c r="D84" s="5">
        <v>81</v>
      </c>
      <c r="E84" s="1" t="s">
        <v>2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>
        <v>3</v>
      </c>
      <c r="D85" s="5">
        <v>82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>
        <v>3</v>
      </c>
      <c r="D86" s="5">
        <v>83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>
        <v>3</v>
      </c>
      <c r="D87" s="5">
        <v>84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>
        <v>3</v>
      </c>
      <c r="D88" s="5">
        <v>85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>
        <v>3</v>
      </c>
      <c r="D89" s="5">
        <v>86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>
        <v>3</v>
      </c>
      <c r="D90" s="5">
        <v>87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>
        <v>3</v>
      </c>
      <c r="D91" s="5">
        <v>88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>
        <v>3</v>
      </c>
      <c r="D92" s="5">
        <v>89</v>
      </c>
      <c r="E92" s="1" t="s">
        <v>2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>
        <v>3</v>
      </c>
      <c r="D93" s="5">
        <v>90</v>
      </c>
      <c r="E93" s="1" t="s">
        <v>50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>
        <v>4</v>
      </c>
      <c r="D94" s="5">
        <v>92</v>
      </c>
      <c r="E94" s="1" t="s">
        <v>2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>
        <v>4</v>
      </c>
      <c r="D95" s="5">
        <v>93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>
        <v>4</v>
      </c>
      <c r="D96" s="5">
        <v>94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>
        <v>4</v>
      </c>
      <c r="D97" s="5">
        <v>95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>
        <v>4</v>
      </c>
      <c r="D98" s="5">
        <v>96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>
        <v>4</v>
      </c>
      <c r="D99" s="5">
        <v>97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>
        <v>4</v>
      </c>
      <c r="D100" s="5">
        <v>98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>
        <v>4</v>
      </c>
      <c r="D101" s="5">
        <v>99</v>
      </c>
      <c r="E101" s="1" t="s">
        <v>3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>
        <v>4</v>
      </c>
      <c r="D102" s="5">
        <v>100</v>
      </c>
      <c r="E102" s="1" t="s">
        <v>3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>
        <v>4</v>
      </c>
      <c r="D103" s="5">
        <v>101</v>
      </c>
      <c r="E103" s="1" t="s">
        <v>2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>
        <v>4</v>
      </c>
      <c r="D104" s="5">
        <v>102</v>
      </c>
      <c r="E104" s="1" t="s">
        <v>2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>
        <v>4</v>
      </c>
      <c r="D105" s="5">
        <v>103</v>
      </c>
      <c r="E105" s="1" t="s">
        <v>2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>
        <v>4</v>
      </c>
      <c r="D106" s="5">
        <v>104</v>
      </c>
      <c r="E106" s="1" t="s">
        <v>2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>
        <v>4</v>
      </c>
      <c r="D107" s="5">
        <v>105</v>
      </c>
      <c r="E107" s="1" t="s">
        <v>2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>
        <v>4</v>
      </c>
      <c r="D108" s="5">
        <v>106</v>
      </c>
      <c r="E108" s="1" t="s">
        <v>2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>
        <v>4</v>
      </c>
      <c r="D109" s="5">
        <v>107</v>
      </c>
      <c r="E109" s="1" t="s">
        <v>2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>
        <v>4</v>
      </c>
      <c r="D110" s="5">
        <v>108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>
        <v>4</v>
      </c>
      <c r="D111" s="5">
        <v>109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>
        <v>4</v>
      </c>
      <c r="D112" s="5">
        <v>110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>
        <v>4</v>
      </c>
      <c r="D113" s="5">
        <v>111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>
        <v>4</v>
      </c>
      <c r="D114" s="5">
        <v>112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>
        <v>4</v>
      </c>
      <c r="D115" s="5">
        <v>113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>
        <v>4</v>
      </c>
      <c r="D116" s="5">
        <v>114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>
        <v>4</v>
      </c>
      <c r="D117" s="5">
        <v>115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>
        <v>4</v>
      </c>
      <c r="D118" s="5">
        <v>116</v>
      </c>
      <c r="E118" s="1" t="s">
        <v>2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>
        <v>4</v>
      </c>
      <c r="D119" s="5">
        <v>118</v>
      </c>
      <c r="E119" s="1" t="s">
        <v>2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>
        <v>4</v>
      </c>
      <c r="D120" s="5">
        <v>119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>
        <v>4</v>
      </c>
      <c r="D121" s="5">
        <v>120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>
        <v>4</v>
      </c>
      <c r="D122" s="5">
        <v>121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>
        <v>4</v>
      </c>
      <c r="D123" s="5">
        <v>122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>
        <v>4</v>
      </c>
      <c r="D124" s="5">
        <v>123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>
        <v>4</v>
      </c>
      <c r="D125" s="5">
        <v>124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>
        <v>4</v>
      </c>
      <c r="D126" s="5">
        <v>125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>
        <v>4</v>
      </c>
      <c r="D127" s="5">
        <v>126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>
        <v>4</v>
      </c>
      <c r="D128" s="5">
        <v>127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>
        <v>4</v>
      </c>
      <c r="D129" s="5">
        <v>128</v>
      </c>
      <c r="E129" s="1" t="s">
        <v>2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>
        <v>4</v>
      </c>
      <c r="D130" s="5">
        <v>129</v>
      </c>
      <c r="E130" s="1" t="s">
        <v>2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>
        <v>4</v>
      </c>
      <c r="D131" s="5">
        <v>130</v>
      </c>
      <c r="E131" s="1" t="s">
        <v>2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>
        <v>4</v>
      </c>
      <c r="D132" s="5">
        <v>131</v>
      </c>
      <c r="E132" s="1" t="s">
        <v>2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>
        <v>4</v>
      </c>
      <c r="D133" s="5">
        <v>132</v>
      </c>
      <c r="E133" s="1" t="s">
        <v>2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>
        <v>4</v>
      </c>
      <c r="D134" s="5">
        <v>133</v>
      </c>
      <c r="E134" s="1" t="s">
        <v>2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>
        <v>4</v>
      </c>
      <c r="D135" s="5">
        <v>134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>
        <v>4</v>
      </c>
      <c r="D136" s="5">
        <v>135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>
        <v>4</v>
      </c>
      <c r="D137" s="5">
        <v>136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>
        <v>4</v>
      </c>
      <c r="D138" s="5">
        <v>137</v>
      </c>
      <c r="E138" s="1" t="s">
        <v>2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>
        <v>4</v>
      </c>
      <c r="D139" s="5">
        <v>138</v>
      </c>
      <c r="E139" s="1" t="s">
        <v>2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>
        <v>4</v>
      </c>
      <c r="D140" s="5">
        <v>140</v>
      </c>
      <c r="E140" s="1" t="s">
        <v>2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>
        <v>4</v>
      </c>
      <c r="D141" s="5">
        <v>141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>
        <v>4</v>
      </c>
      <c r="D142" s="5">
        <v>142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>
        <v>4</v>
      </c>
      <c r="D143" s="5">
        <v>143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>
        <v>4</v>
      </c>
      <c r="D144" s="5">
        <v>144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>
        <v>4</v>
      </c>
      <c r="D145" s="5">
        <v>145</v>
      </c>
      <c r="E145" s="1" t="s">
        <v>2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>
        <v>4</v>
      </c>
      <c r="D146" s="5">
        <v>146</v>
      </c>
      <c r="E146" s="1" t="s">
        <v>2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>
        <v>4</v>
      </c>
      <c r="D147" s="5">
        <v>147</v>
      </c>
      <c r="E147" s="1" t="s">
        <v>2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>
        <v>4</v>
      </c>
      <c r="D148" s="5">
        <v>148</v>
      </c>
      <c r="E148" s="1" t="s">
        <v>2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>
        <v>4</v>
      </c>
      <c r="D149" s="5">
        <v>149</v>
      </c>
      <c r="E149" s="1" t="s">
        <v>2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>
        <v>4</v>
      </c>
      <c r="D150" s="5">
        <v>150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>
        <v>4</v>
      </c>
      <c r="D151" s="5">
        <v>151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>
        <v>4</v>
      </c>
      <c r="D152" s="5">
        <v>152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>
        <v>4</v>
      </c>
      <c r="D153" s="5">
        <v>153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>
        <v>4</v>
      </c>
      <c r="D154" s="5">
        <v>154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>
        <v>155</v>
      </c>
      <c r="B155" s="5">
        <v>1</v>
      </c>
      <c r="C155" s="5">
        <v>4</v>
      </c>
      <c r="D155" s="5">
        <v>155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>
        <v>4</v>
      </c>
      <c r="D156" s="5">
        <v>156</v>
      </c>
      <c r="E156" s="1" t="s">
        <v>2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>
        <v>4</v>
      </c>
      <c r="D157" s="5">
        <v>157</v>
      </c>
      <c r="E157" s="1" t="s">
        <v>2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>
        <v>4</v>
      </c>
      <c r="D158" s="5">
        <v>159</v>
      </c>
      <c r="E158" s="1" t="s">
        <v>2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>
        <v>4</v>
      </c>
      <c r="D159" s="5">
        <v>160</v>
      </c>
      <c r="E159" s="1" t="s">
        <v>2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>
        <v>4</v>
      </c>
      <c r="D160" s="5">
        <v>161</v>
      </c>
      <c r="E160" s="1" t="s">
        <v>2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>
        <v>4</v>
      </c>
      <c r="D161" s="5">
        <v>162</v>
      </c>
      <c r="E161" s="1" t="s">
        <v>2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>
        <v>4</v>
      </c>
      <c r="D162" s="5">
        <v>163</v>
      </c>
      <c r="E162" s="1" t="s">
        <v>2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>
        <v>4</v>
      </c>
      <c r="D163" s="5">
        <v>164</v>
      </c>
      <c r="E163" s="1" t="s">
        <v>2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>
        <v>4</v>
      </c>
      <c r="D164" s="5">
        <v>165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>
        <v>4</v>
      </c>
      <c r="D165" s="5">
        <v>166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>
        <v>4</v>
      </c>
      <c r="D166" s="5">
        <v>167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>
        <v>4</v>
      </c>
      <c r="D167" s="5">
        <v>168</v>
      </c>
      <c r="E167" s="1" t="s">
        <v>2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>
        <v>4</v>
      </c>
      <c r="D168" s="5">
        <v>169</v>
      </c>
      <c r="E168" s="1" t="s">
        <v>3</v>
      </c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>
        <v>4</v>
      </c>
      <c r="D169" s="5">
        <v>170</v>
      </c>
      <c r="E169" s="1" t="s">
        <v>3</v>
      </c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>
        <v>4</v>
      </c>
      <c r="D170" s="5">
        <v>171</v>
      </c>
      <c r="E170" s="1" t="s">
        <v>2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>
        <v>4</v>
      </c>
      <c r="D171" s="5">
        <v>172</v>
      </c>
      <c r="E171" s="1" t="s">
        <v>2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>
        <v>4</v>
      </c>
      <c r="D172" s="5">
        <v>173</v>
      </c>
      <c r="E172" s="1" t="s">
        <v>2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>
        <v>4</v>
      </c>
      <c r="D173" s="5">
        <v>174</v>
      </c>
      <c r="E173" s="1" t="s">
        <v>2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>
        <v>4</v>
      </c>
      <c r="D174" s="5">
        <v>175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>
        <v>4</v>
      </c>
      <c r="D175" s="5">
        <v>176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>
        <v>4</v>
      </c>
      <c r="D176" s="5">
        <v>177</v>
      </c>
      <c r="E176" s="1" t="s">
        <v>2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>
        <v>4</v>
      </c>
      <c r="D177" s="5">
        <v>178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>
        <v>4</v>
      </c>
      <c r="D178" s="5">
        <v>179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>
        <v>4</v>
      </c>
      <c r="D179" s="5">
        <v>180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>
        <v>4</v>
      </c>
      <c r="D180" s="5">
        <v>181</v>
      </c>
      <c r="E180" s="1" t="s">
        <v>2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>
        <v>4</v>
      </c>
      <c r="D181" s="5">
        <v>182</v>
      </c>
      <c r="E181" s="1" t="s">
        <v>2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132CC-37A7-4CDB-A014-11A7AA269E29}">
          <x14:formula1>
            <xm:f>'#Catalogs'!$A$3:$A$5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50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DESARROLLOS CIMERA</cp:lastModifiedBy>
  <dcterms:created xsi:type="dcterms:W3CDTF">2022-04-28T16:45:26Z</dcterms:created>
  <dcterms:modified xsi:type="dcterms:W3CDTF">2026-04-09T18:55:32Z</dcterms:modified>
</cp:coreProperties>
</file>