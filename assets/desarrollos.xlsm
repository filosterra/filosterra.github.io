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ebsite\assets\"/>
    </mc:Choice>
  </mc:AlternateContent>
  <xr:revisionPtr revIDLastSave="0" documentId="13_ncr:1_{FFBD2A03-26CD-49C9-8CEF-8EDCAA6248AC}" xr6:coauthVersionLast="47" xr6:coauthVersionMax="47" xr10:uidLastSave="{00000000-0000-0000-0000-000000000000}"/>
  <bookViews>
    <workbookView xWindow="-120" yWindow="-120" windowWidth="20730" windowHeight="11160" activeTab="1" xr2:uid="{AF5CDD77-3838-4710-9E18-77490520BFEC}"/>
  </bookViews>
  <sheets>
    <sheet name="Olmos" sheetId="4" r:id="rId1"/>
    <sheet name="Sauceda" sheetId="1" r:id="rId2"/>
    <sheet name="#Catalogs" sheetId="3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5" i="4" l="1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6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7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8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9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0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1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2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3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4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5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6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7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8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19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0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1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2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3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4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5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6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7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<sst xmlns="http://schemas.openxmlformats.org/spreadsheetml/2006/main" count="236" uniqueCount="50">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</sst>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14">
    <dxf>
      <numFmt numFmtId="12" formatCode="&quot;$&quot;#,##0.00;[Red]\-&quot;$&quot;#,##0.00"/>
    </dxf>
    <dxf>
      <numFmt numFmtId="164" formatCode="&quot;$&quot;#,##0.00_);[Red]\(&quot;$&quot;#,##0.00\)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3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35" tableType="xml" totalsRowShown="0" connectionId="13">
  <autoFilter ref="A3:H35" xr:uid="{B6F4573A-8CB9-4F04-8F16-AA6CA6F4BB1D}"/>
  <tableColumns count="8">
    <tableColumn id="1" xr3:uid="{AA61A0F2-1984-4A0C-A245-6E2911CEABE9}" uniqueName="Id" name="Id" dataDxfId="13">
      <xmlColumnPr mapId="8" xpath="/data/item/@Id" xmlDataType="integer"/>
    </tableColumn>
    <tableColumn id="9" xr3:uid="{4537E7AE-AEDD-4BE4-AF7F-D809E10890E6}" uniqueName="Etapa" name="Etapa" dataDxfId="12">
      <xmlColumnPr mapId="8" xpath="/data/item/@Etapa" xmlDataType="integer"/>
    </tableColumn>
    <tableColumn id="7" xr3:uid="{7E76F309-A101-4515-8A63-39281828727C}" uniqueName="Manzana" name="Manzana" dataDxfId="11">
      <xmlColumnPr mapId="8" xpath="/data/item/@Manzana" xmlDataType="integer"/>
    </tableColumn>
    <tableColumn id="6" xr3:uid="{25761776-A684-4440-A702-2684B5B525A8}" uniqueName="Lote" name="Lote" dataDxfId="10">
      <xmlColumnPr mapId="8" xpath="/data/item/@Lote" xmlDataType="string"/>
    </tableColumn>
    <tableColumn id="4" xr3:uid="{B39CB980-12B7-475A-9F71-0A7C7F2B9539}" uniqueName="Status" name="Estatus" dataDxfId="9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8">
      <xmlColumnPr mapId="8" xpath="/data/item/@PrecioUnitario" xmlDataType="integer"/>
    </tableColumn>
    <tableColumn id="3" xr3:uid="{1D4C772A-411B-407F-916A-A6C07C435E7D}" uniqueName="PrecioVenta" name="Precio venta" dataDxfId="7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7">
  <autoFilter ref="A3:H38" xr:uid="{B6F4573A-8CB9-4F04-8F16-AA6CA6F4BB1D}"/>
  <tableColumns count="8">
    <tableColumn id="1" xr3:uid="{41716C42-7DDA-4016-B841-2827C4E977D3}" uniqueName="Id" name="Id" dataDxfId="6">
      <xmlColumnPr mapId="10" xpath="/data/item/@Id" xmlDataType="integer"/>
    </tableColumn>
    <tableColumn id="9" xr3:uid="{8FE71FB5-C707-4B45-82C3-C2007E7019DD}" uniqueName="Etapa" name="Etapa" dataDxfId="5">
      <xmlColumnPr mapId="10" xpath="/data/item/@Etapa" xmlDataType="integer"/>
    </tableColumn>
    <tableColumn id="7" xr3:uid="{24F6FACA-C23A-4F64-B569-2D720EACAC61}" uniqueName="Manzana" name="Manzana" dataDxfId="4">
      <xmlColumnPr mapId="10" xpath="/data/item/@Manzana" xmlDataType="integer"/>
    </tableColumn>
    <tableColumn id="6" xr3:uid="{9B6130BE-EC29-4186-8C4C-AB84C0A37C8B}" uniqueName="Lote" name="Lote" dataDxfId="3">
      <xmlColumnPr mapId="10" xpath="/data/item/@Lote" xmlDataType="string"/>
    </tableColumn>
    <tableColumn id="4" xr3:uid="{9330E314-15C7-4EAF-8D8C-C2E5F6E9EEF0}" uniqueName="Status" name="Estatus" dataDxfId="2">
      <xmlColumnPr mapId="10" xpath="/data/item/@Status" xmlDataType="string"/>
    </tableColumn>
    <tableColumn id="2" xr3:uid="{1FEEF94B-2F36-4459-AC7F-77D583009438}" uniqueName="Terreno" name="Area m2">
      <xmlColumnPr mapId="10" xpath="/data/item/@Terreno" xmlDataType="integer"/>
    </tableColumn>
    <tableColumn id="5" xr3:uid="{588AC0DF-D7CD-461B-B78E-1B65B0554A04}" uniqueName="PrecioUnitario" name="Precio m2" dataDxfId="0">
      <xmlColumnPr mapId="10" xpath="/data/item/@PrecioUnitario" xmlDataType="integer"/>
    </tableColumn>
    <tableColumn id="3" xr3:uid="{26BE7702-8448-451C-BB18-4203745813D7}" uniqueName="PrecioVenta" name="Precio venta" dataDxfId="1">
      <calculatedColumnFormula>Borrar[[#This Row],[Area m2]]*Borrar[[#This Row],[Precio m2]]</calculatedColumnFormula>
      <xmlColumnPr mapId="10" xpath="/data/item/@PrecioVent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4" totalsRowShown="0">
  <autoFilter ref="A2:A4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35"/>
  <sheetViews>
    <sheetView workbookViewId="0">
      <selection activeCell="G4" sqref="G4"/>
    </sheetView>
  </sheetViews>
  <sheetFormatPr baseColWidth="10"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3</v>
      </c>
      <c r="F4">
        <v>152.36000000000001</v>
      </c>
      <c r="G4" s="3">
        <v>5800</v>
      </c>
      <c r="H4" s="2">
        <f>Borrar4[[#This Row],[Area m2]]*Borrar4[[#This Row],[Precio m2]]</f>
        <v>883688.00000000012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3</v>
      </c>
      <c r="F5">
        <v>150.62</v>
      </c>
      <c r="G5" s="3">
        <v>5800</v>
      </c>
      <c r="H5" s="2">
        <f>Borrar4[[#This Row],[Area m2]]*Borrar4[[#This Row],[Precio m2]]</f>
        <v>873596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3</v>
      </c>
      <c r="F6">
        <v>148.87</v>
      </c>
      <c r="G6" s="3">
        <v>5800</v>
      </c>
      <c r="H6" s="2">
        <f>Borrar4[[#This Row],[Area m2]]*Borrar4[[#This Row],[Precio m2]]</f>
        <v>863446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5800</v>
      </c>
      <c r="H7" s="2">
        <f>Borrar4[[#This Row],[Area m2]]*Borrar4[[#This Row],[Precio m2]]</f>
        <v>853296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3</v>
      </c>
      <c r="F8">
        <v>145.37</v>
      </c>
      <c r="G8" s="3">
        <v>5800</v>
      </c>
      <c r="H8" s="2">
        <f>Borrar4[[#This Row],[Area m2]]*Borrar4[[#This Row],[Precio m2]]</f>
        <v>843146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3</v>
      </c>
      <c r="F9">
        <v>143.62</v>
      </c>
      <c r="G9" s="3">
        <v>5800</v>
      </c>
      <c r="H9" s="2">
        <f>Borrar4[[#This Row],[Area m2]]*Borrar4[[#This Row],[Precio m2]]</f>
        <v>832996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3</v>
      </c>
      <c r="F10">
        <v>141.88</v>
      </c>
      <c r="G10" s="3">
        <v>5800</v>
      </c>
      <c r="H10" s="2">
        <f>Borrar4[[#This Row],[Area m2]]*Borrar4[[#This Row],[Precio m2]]</f>
        <v>822904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3</v>
      </c>
      <c r="F11">
        <v>140.13</v>
      </c>
      <c r="G11" s="3">
        <v>5800</v>
      </c>
      <c r="H11" s="2">
        <f>Borrar4[[#This Row],[Area m2]]*Borrar4[[#This Row],[Precio m2]]</f>
        <v>812754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5800</v>
      </c>
      <c r="H12" s="2">
        <f>Borrar4[[#This Row],[Area m2]]*Borrar4[[#This Row],[Precio m2]]</f>
        <v>802604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3</v>
      </c>
      <c r="F13">
        <v>136.63</v>
      </c>
      <c r="G13" s="3">
        <v>5800</v>
      </c>
      <c r="H13" s="2">
        <f>Borrar4[[#This Row],[Area m2]]*Borrar4[[#This Row],[Precio m2]]</f>
        <v>792454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5800</v>
      </c>
      <c r="H14" s="2">
        <f>Borrar4[[#This Row],[Area m2]]*Borrar4[[#This Row],[Precio m2]]</f>
        <v>782361.99999999988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3</v>
      </c>
      <c r="F15">
        <v>133.13999999999999</v>
      </c>
      <c r="G15" s="3">
        <v>5800</v>
      </c>
      <c r="H15" s="2">
        <f>Borrar4[[#This Row],[Area m2]]*Borrar4[[#This Row],[Precio m2]]</f>
        <v>772211.99999999988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3</v>
      </c>
      <c r="F16">
        <v>282.68</v>
      </c>
      <c r="G16" s="3">
        <v>5800</v>
      </c>
      <c r="H16" s="2">
        <f>Borrar4[[#This Row],[Area m2]]*Borrar4[[#This Row],[Precio m2]]</f>
        <v>1639544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3</v>
      </c>
      <c r="F17">
        <v>148.33000000000001</v>
      </c>
      <c r="G17" s="3">
        <v>5800</v>
      </c>
      <c r="H17" s="2">
        <f>Borrar4[[#This Row],[Area m2]]*Borrar4[[#This Row],[Precio m2]]</f>
        <v>860314.00000000012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3</v>
      </c>
      <c r="F18">
        <v>129.6</v>
      </c>
      <c r="G18" s="3">
        <v>5800</v>
      </c>
      <c r="H18" s="2">
        <f>Borrar4[[#This Row],[Area m2]]*Borrar4[[#This Row],[Precio m2]]</f>
        <v>751680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3</v>
      </c>
      <c r="F19">
        <v>129.6</v>
      </c>
      <c r="G19" s="3">
        <v>5800</v>
      </c>
      <c r="H19" s="2">
        <f>Borrar4[[#This Row],[Area m2]]*Borrar4[[#This Row],[Precio m2]]</f>
        <v>751680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3</v>
      </c>
      <c r="F20">
        <v>161.27000000000001</v>
      </c>
      <c r="G20" s="3">
        <v>5800</v>
      </c>
      <c r="H20" s="2">
        <f>Borrar4[[#This Row],[Area m2]]*Borrar4[[#This Row],[Precio m2]]</f>
        <v>935366.00000000012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3</v>
      </c>
      <c r="F21">
        <v>609.76</v>
      </c>
      <c r="G21" s="3">
        <v>5800</v>
      </c>
      <c r="H21" s="2">
        <f>Borrar4[[#This Row],[Area m2]]*Borrar4[[#This Row],[Precio m2]]</f>
        <v>3536608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5800</v>
      </c>
      <c r="H22" s="2">
        <f>Borrar4[[#This Row],[Area m2]]*Borrar4[[#This Row],[Precio m2]]</f>
        <v>1347920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5800</v>
      </c>
      <c r="H23" s="2">
        <f>Borrar4[[#This Row],[Area m2]]*Borrar4[[#This Row],[Precio m2]]</f>
        <v>1179082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5800</v>
      </c>
      <c r="H24" s="2">
        <f>Borrar4[[#This Row],[Area m2]]*Borrar4[[#This Row],[Precio m2]]</f>
        <v>781376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3</v>
      </c>
      <c r="F25">
        <v>136.33000000000001</v>
      </c>
      <c r="G25" s="3">
        <v>5800</v>
      </c>
      <c r="H25" s="2">
        <f>Borrar4[[#This Row],[Area m2]]*Borrar4[[#This Row],[Precio m2]]</f>
        <v>790714.00000000012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2</v>
      </c>
      <c r="F26">
        <v>137.49</v>
      </c>
      <c r="G26" s="3">
        <v>5800</v>
      </c>
      <c r="H26" s="2">
        <f>Borrar4[[#This Row],[Area m2]]*Borrar4[[#This Row],[Precio m2]]</f>
        <v>797442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5800</v>
      </c>
      <c r="H27" s="2">
        <f>Borrar4[[#This Row],[Area m2]]*Borrar4[[#This Row],[Precio m2]]</f>
        <v>804170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5800</v>
      </c>
      <c r="H28" s="2">
        <f>Borrar4[[#This Row],[Area m2]]*Borrar4[[#This Row],[Precio m2]]</f>
        <v>810898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5800</v>
      </c>
      <c r="H29" s="2">
        <f>Borrar4[[#This Row],[Area m2]]*Borrar4[[#This Row],[Precio m2]]</f>
        <v>817626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5800</v>
      </c>
      <c r="H30" s="2">
        <f>Borrar4[[#This Row],[Area m2]]*Borrar4[[#This Row],[Precio m2]]</f>
        <v>824354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5800</v>
      </c>
      <c r="H31" s="2">
        <f>Borrar4[[#This Row],[Area m2]]*Borrar4[[#This Row],[Precio m2]]</f>
        <v>831082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5800</v>
      </c>
      <c r="H32" s="2">
        <f>Borrar4[[#This Row],[Area m2]]*Borrar4[[#This Row],[Precio m2]]</f>
        <v>837809.99999999988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5800</v>
      </c>
      <c r="H33" s="2">
        <f>Borrar4[[#This Row],[Area m2]]*Borrar4[[#This Row],[Precio m2]]</f>
        <v>844596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5800</v>
      </c>
      <c r="H34" s="2">
        <f>Borrar4[[#This Row],[Area m2]]*Borrar4[[#This Row],[Precio m2]]</f>
        <v>849874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5800</v>
      </c>
      <c r="H35" s="2">
        <f>Borrar4[[#This Row],[Area m2]]*Borrar4[[#This Row],[Precio m2]]</f>
        <v>982461.99999999988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tabSelected="1" workbookViewId="0">
      <selection activeCell="F1" sqref="F1"/>
    </sheetView>
  </sheetViews>
  <sheetFormatPr baseColWidth="10"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2</v>
      </c>
      <c r="F4">
        <v>139.4</v>
      </c>
      <c r="G4" s="3">
        <v>5800</v>
      </c>
      <c r="H4" s="2">
        <f>Borrar[[#This Row],[Area m2]]*Borrar[[#This Row],[Precio m2]]</f>
        <v>808520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2</v>
      </c>
      <c r="F5">
        <v>139.47999999999999</v>
      </c>
      <c r="G5" s="3">
        <v>5800</v>
      </c>
      <c r="H5" s="2">
        <f>Borrar[[#This Row],[Area m2]]*Borrar[[#This Row],[Precio m2]]</f>
        <v>808983.99999999988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2</v>
      </c>
      <c r="F6">
        <v>139.44999999999999</v>
      </c>
      <c r="G6" s="3">
        <v>5800</v>
      </c>
      <c r="H6" s="2">
        <f>Borrar[[#This Row],[Area m2]]*Borrar[[#This Row],[Precio m2]]</f>
        <v>808809.99999999988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3</v>
      </c>
      <c r="F7">
        <v>134.19</v>
      </c>
      <c r="G7" s="3">
        <v>5800</v>
      </c>
      <c r="H7" s="2">
        <f>Borrar[[#This Row],[Area m2]]*Borrar[[#This Row],[Precio m2]]</f>
        <v>778302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2</v>
      </c>
      <c r="F8">
        <v>144.68</v>
      </c>
      <c r="G8" s="3">
        <v>5800</v>
      </c>
      <c r="H8" s="2">
        <f>Borrar[[#This Row],[Area m2]]*Borrar[[#This Row],[Precio m2]]</f>
        <v>839144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5800</v>
      </c>
      <c r="H9" s="2">
        <f>Borrar[[#This Row],[Area m2]]*Borrar[[#This Row],[Precio m2]]</f>
        <v>908628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2</v>
      </c>
      <c r="F10">
        <v>168.8</v>
      </c>
      <c r="G10" s="3">
        <v>5800</v>
      </c>
      <c r="H10" s="2">
        <f>Borrar[[#This Row],[Area m2]]*Borrar[[#This Row],[Precio m2]]</f>
        <v>979040.00000000012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2</v>
      </c>
      <c r="F11">
        <v>128.46</v>
      </c>
      <c r="G11" s="3">
        <v>5800</v>
      </c>
      <c r="H11" s="2">
        <f>Borrar[[#This Row],[Area m2]]*Borrar[[#This Row],[Precio m2]]</f>
        <v>745068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2</v>
      </c>
      <c r="F12">
        <v>128.51</v>
      </c>
      <c r="G12" s="3">
        <v>5800</v>
      </c>
      <c r="H12" s="2">
        <f>Borrar[[#This Row],[Area m2]]*Borrar[[#This Row],[Precio m2]]</f>
        <v>745358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2</v>
      </c>
      <c r="F13">
        <v>138.29</v>
      </c>
      <c r="G13" s="3">
        <v>5800</v>
      </c>
      <c r="H13" s="2">
        <f>Borrar[[#This Row],[Area m2]]*Borrar[[#This Row],[Precio m2]]</f>
        <v>802082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5800</v>
      </c>
      <c r="H14" s="2">
        <f>Borrar[[#This Row],[Area m2]]*Borrar[[#This Row],[Precio m2]]</f>
        <v>833170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5800</v>
      </c>
      <c r="H15" s="2">
        <f>Borrar[[#This Row],[Area m2]]*Borrar[[#This Row],[Precio m2]]</f>
        <v>858980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2</v>
      </c>
      <c r="F16">
        <v>147.19999999999999</v>
      </c>
      <c r="G16" s="3">
        <v>5800</v>
      </c>
      <c r="H16" s="2">
        <f>Borrar[[#This Row],[Area m2]]*Borrar[[#This Row],[Precio m2]]</f>
        <v>853759.99999999988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2</v>
      </c>
      <c r="F17">
        <v>117.38</v>
      </c>
      <c r="G17" s="3">
        <v>5800</v>
      </c>
      <c r="H17" s="2">
        <f>Borrar[[#This Row],[Area m2]]*Borrar[[#This Row],[Precio m2]]</f>
        <v>680804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2</v>
      </c>
      <c r="F18">
        <v>117.6</v>
      </c>
      <c r="G18" s="3">
        <v>5800</v>
      </c>
      <c r="H18" s="2">
        <f>Borrar[[#This Row],[Area m2]]*Borrar[[#This Row],[Precio m2]]</f>
        <v>682080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2</v>
      </c>
      <c r="F19">
        <v>117.14</v>
      </c>
      <c r="G19" s="3">
        <v>5800</v>
      </c>
      <c r="H19" s="2">
        <f>Borrar[[#This Row],[Area m2]]*Borrar[[#This Row],[Precio m2]]</f>
        <v>679412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102.82</v>
      </c>
      <c r="G20" s="3">
        <v>5800</v>
      </c>
      <c r="H20" s="2">
        <f>Borrar[[#This Row],[Area m2]]*Borrar[[#This Row],[Precio m2]]</f>
        <v>596356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5800</v>
      </c>
      <c r="H21" s="2">
        <f>Borrar[[#This Row],[Area m2]]*Borrar[[#This Row],[Precio m2]]</f>
        <v>869246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5800</v>
      </c>
      <c r="H22" s="2">
        <f>Borrar[[#This Row],[Area m2]]*Borrar[[#This Row],[Precio m2]]</f>
        <v>763511.99999999988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5800</v>
      </c>
      <c r="H23" s="2">
        <f>Borrar[[#This Row],[Area m2]]*Borrar[[#This Row],[Precio m2]]</f>
        <v>760611.99999999988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5800</v>
      </c>
      <c r="H24" s="2">
        <f>Borrar[[#This Row],[Area m2]]*Borrar[[#This Row],[Precio m2]]</f>
        <v>718098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3</v>
      </c>
      <c r="F25">
        <v>123.22</v>
      </c>
      <c r="G25" s="3">
        <v>5800</v>
      </c>
      <c r="H25" s="2">
        <f>Borrar[[#This Row],[Area m2]]*Borrar[[#This Row],[Precio m2]]</f>
        <v>714676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2</v>
      </c>
      <c r="F26">
        <v>122.79</v>
      </c>
      <c r="G26" s="3">
        <v>5800</v>
      </c>
      <c r="H26" s="2">
        <f>Borrar[[#This Row],[Area m2]]*Borrar[[#This Row],[Precio m2]]</f>
        <v>712182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5800</v>
      </c>
      <c r="H27" s="2">
        <f>Borrar[[#This Row],[Area m2]]*Borrar[[#This Row],[Precio m2]]</f>
        <v>707368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2</v>
      </c>
      <c r="F28">
        <v>122.8</v>
      </c>
      <c r="G28" s="3">
        <v>5800</v>
      </c>
      <c r="H28" s="2">
        <f>Borrar[[#This Row],[Area m2]]*Borrar[[#This Row],[Precio m2]]</f>
        <v>712240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2</v>
      </c>
      <c r="F29">
        <v>125.6</v>
      </c>
      <c r="G29" s="3">
        <v>5800</v>
      </c>
      <c r="H29" s="2">
        <f>Borrar[[#This Row],[Area m2]]*Borrar[[#This Row],[Precio m2]]</f>
        <v>728480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2</v>
      </c>
      <c r="F30">
        <v>132.22</v>
      </c>
      <c r="G30" s="3">
        <v>5800</v>
      </c>
      <c r="H30" s="2">
        <f>Borrar[[#This Row],[Area m2]]*Borrar[[#This Row],[Precio m2]]</f>
        <v>766876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2</v>
      </c>
      <c r="F31">
        <v>137.15</v>
      </c>
      <c r="G31" s="3">
        <v>5800</v>
      </c>
      <c r="H31" s="2">
        <f>Borrar[[#This Row],[Area m2]]*Borrar[[#This Row],[Precio m2]]</f>
        <v>795470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2</v>
      </c>
      <c r="F32">
        <v>149.46</v>
      </c>
      <c r="G32" s="3">
        <v>5800</v>
      </c>
      <c r="H32" s="2">
        <f>Borrar[[#This Row],[Area m2]]*Borrar[[#This Row],[Precio m2]]</f>
        <v>866868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2</v>
      </c>
      <c r="F33">
        <v>151.56</v>
      </c>
      <c r="G33" s="3">
        <v>5800</v>
      </c>
      <c r="H33" s="2">
        <f>Borrar[[#This Row],[Area m2]]*Borrar[[#This Row],[Precio m2]]</f>
        <v>879048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2</v>
      </c>
      <c r="F34">
        <v>151.88</v>
      </c>
      <c r="G34" s="3">
        <v>5800</v>
      </c>
      <c r="H34" s="2">
        <f>Borrar[[#This Row],[Area m2]]*Borrar[[#This Row],[Precio m2]]</f>
        <v>880904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2</v>
      </c>
      <c r="F35">
        <v>150.41999999999999</v>
      </c>
      <c r="G35" s="3">
        <v>5800</v>
      </c>
      <c r="H35" s="2">
        <f>Borrar[[#This Row],[Area m2]]*Borrar[[#This Row],[Precio m2]]</f>
        <v>872435.99999999988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2</v>
      </c>
      <c r="F36">
        <v>147.18</v>
      </c>
      <c r="G36" s="3">
        <v>5800</v>
      </c>
      <c r="H36" s="2">
        <f>Borrar[[#This Row],[Area m2]]*Borrar[[#This Row],[Precio m2]]</f>
        <v>853644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2</v>
      </c>
      <c r="F37">
        <v>142.15</v>
      </c>
      <c r="G37" s="3">
        <v>5800</v>
      </c>
      <c r="H37" s="2">
        <f>Borrar[[#This Row],[Area m2]]*Borrar[[#This Row],[Precio m2]]</f>
        <v>824470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2</v>
      </c>
      <c r="F38">
        <v>132.85</v>
      </c>
      <c r="G38" s="3">
        <v>5800</v>
      </c>
      <c r="H38" s="2">
        <f>Borrar[[#This Row],[Area m2]]*Borrar[[#This Row],[Precio m2]]</f>
        <v>770530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4"/>
  <sheetViews>
    <sheetView workbookViewId="0">
      <selection activeCell="A3" sqref="A3:A4"/>
    </sheetView>
  </sheetViews>
  <sheetFormatPr baseColWidth="10" defaultColWidth="9.140625"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Olmos</vt:lpstr>
      <vt:lpstr>Sauceda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Usuario</cp:lastModifiedBy>
  <dcterms:created xsi:type="dcterms:W3CDTF">2022-04-28T16:45:26Z</dcterms:created>
  <dcterms:modified xsi:type="dcterms:W3CDTF">2023-07-10T23:57:37Z</dcterms:modified>
</cp:coreProperties>
</file>