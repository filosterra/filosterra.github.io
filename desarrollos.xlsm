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ropbox (Personal)\Proyectos\Filosterra\website-dev\"/>
    </mc:Choice>
  </mc:AlternateContent>
  <xr:revisionPtr revIDLastSave="0" documentId="13_ncr:1_{AEF8D929-881D-4718-AF91-2E56BF2D9F0B}" xr6:coauthVersionLast="47" xr6:coauthVersionMax="47" xr10:uidLastSave="{00000000-0000-0000-0000-000000000000}"/>
  <bookViews>
    <workbookView xWindow="-120" yWindow="-120" windowWidth="24240" windowHeight="13020" xr2:uid="{AF5CDD77-3838-4710-9E18-77490520BFEC}"/>
  </bookViews>
  <sheets>
    <sheet name="Olmos" sheetId="4" r:id="rId1"/>
    <sheet name="Sauceda" sheetId="1" r:id="rId2"/>
    <sheet name="#Catalogs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5" i="4" l="1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791138-C267-4666-B180-2947E65AFEC0}" name="estudios" type="4" refreshedVersion="0" background="1">
    <webPr xml="1" sourceData="1" url="D:\Dropbox (Personal)\Proyectos\Centro Diagnostico\dev\estudios.xml" htmlTables="1" htmlFormat="all"/>
  </connection>
  <connection id="2" xr16:uid="{27FB32CE-FBA7-43E5-9D0B-5C405B76DEB2}" name="estudios1" type="4" refreshedVersion="0" background="1">
    <webPr xml="1" sourceData="1" url="http://www.centrodiagnostico.mx/estudios.xml" htmlTables="1" htmlFormat="all"/>
  </connection>
  <connection id="3" xr16:uid="{89E770FE-41B6-41FC-A3E8-F11251AFC88E}" name="estudios2" type="4" refreshedVersion="0" background="1">
    <webPr xml="1" sourceData="1" url="D:\Dropbox (Personal)\Proyectos\Centro Diagnostico\dev\estudios.xml" htmlTables="1" htmlFormat="all"/>
  </connection>
  <connection id="4" xr16:uid="{5D071704-19E5-4BA8-8B7A-E82A215A5C5F}" name="estudios3" type="4" refreshedVersion="0" background="1">
    <webPr xml="1" sourceData="1" url="D:\Dropbox (Personal)\Proyectos\Centro Diagnostico\dev\estudios.xml" htmlTables="1" htmlFormat="all"/>
  </connection>
  <connection id="5" xr16:uid="{44F74B8E-408E-4C62-9B2C-3127E697E1B7}" name="Olmos" type="4" refreshedVersion="0" background="1">
    <webPr xml="1" sourceData="1" url="D:\Dropbox (Personal)\Proyectos\Filosterra\website\data\Olmos.xml" htmlTables="1" htmlFormat="all"/>
  </connection>
  <connection id="6" xr16:uid="{047B2A75-6B5E-4245-B64A-9866E8A3FF4F}" name="Olmos1" type="4" refreshedVersion="0" background="1">
    <webPr xml="1" sourceData="1" url="D:\Dropbox (Personal)\Proyectos\Filosterra\website\data\Olmos.xml" htmlTables="1" htmlFormat="all"/>
  </connection>
  <connection id="7" xr16:uid="{8C62AC19-78AE-40E0-B251-57F96C9DC477}" name="Olmos10" type="4" refreshedVersion="0" background="1">
    <webPr xml="1" sourceData="1" url="D:\Dropbox (Personal)\Proyectos\Filosterra\website\data\Olmos.xml" htmlTables="1" htmlFormat="all"/>
  </connection>
  <connection id="8" xr16:uid="{9831A13B-D898-4AF2-B085-FE9DB8EF7088}" name="Olmos11" type="4" refreshedVersion="0" background="1">
    <webPr xml="1" sourceData="1" url="D:\Dropbox (Personal)\Proyectos\Filosterra\website\data\Olmos.xml" htmlTables="1" htmlFormat="all"/>
  </connection>
  <connection id="9" xr16:uid="{1E493086-7D4A-46DC-9128-80CA5D9FD65E}" name="Olmos12" type="4" refreshedVersion="0" background="1">
    <webPr xml="1" sourceData="1" url="D:\Dropbox (Personal)\Proyectos\Filosterra\website\data\Olmos.xml" htmlTables="1" htmlFormat="all"/>
  </connection>
  <connection id="10" xr16:uid="{A49CEEAA-5DA3-4385-9FE1-04F705442B2D}" name="Olmos13" type="4" refreshedVersion="0" background="1">
    <webPr xml="1" sourceData="1" url="D:\Dropbox (Personal)\Proyectos\Filosterra\website\data\Olmos.xml" htmlTables="1" htmlFormat="all"/>
  </connection>
  <connection id="11" xr16:uid="{C3D82071-0FCF-4CD8-8709-6FFEA37F49AD}" name="Olmos14" type="4" refreshedVersion="0" background="1">
    <webPr xml="1" sourceData="1" url="D:\Dropbox (Personal)\Proyectos\Filosterra\website\data\Olmos.xml" htmlTables="1" htmlFormat="all"/>
  </connection>
  <connection id="12" xr16:uid="{0F64DA41-41FA-4ED6-BC78-57A7555C9BF7}" name="Olmos15" type="4" refreshedVersion="0" background="1">
    <webPr xml="1" sourceData="1" url="D:\Dropbox (Personal)\Proyectos\Filosterra\website\data\Olmos.xml" htmlTables="1" htmlFormat="all"/>
  </connection>
  <connection id="13" xr16:uid="{88B0E6E9-CE96-4391-8E69-A6D072D57F3B}" name="Olmos16" type="4" refreshedVersion="0" background="1">
    <webPr xml="1" sourceData="1" url="D:\Dropbox (Personal)\Proyectos\Filosterra\website\data\Olmos.xml" htmlTables="1" htmlFormat="all"/>
  </connection>
  <connection id="14" xr16:uid="{0E8279B7-E2C8-449B-A394-54905CBF5856}" name="Olmos2" type="4" refreshedVersion="0" background="1">
    <webPr xml="1" sourceData="1" url="D:\Dropbox (Personal)\Proyectos\Filosterra\website\data\Olmos.xml" htmlTables="1" htmlFormat="all"/>
  </connection>
  <connection id="15" xr16:uid="{490C372F-26E0-4B8D-96FB-85BD04F48058}" name="Olmos3" type="4" refreshedVersion="0" background="1">
    <webPr xml="1" sourceData="1" url="D:\Dropbox (Personal)\Proyectos\Filosterra\website\data\Olmos.xml" htmlTables="1" htmlFormat="all"/>
  </connection>
  <connection id="16" xr16:uid="{EA242F50-671C-48C5-B1B2-9C983C3E1757}" name="Olmos4" type="4" refreshedVersion="0" background="1">
    <webPr xml="1" sourceData="1" url="D:\Dropbox (Personal)\Proyectos\Filosterra\website\data\Olmos.xml" htmlTables="1" htmlFormat="all"/>
  </connection>
  <connection id="17" xr16:uid="{B7209620-53C3-439D-9BDB-DDBD0745C427}" name="Olmos5" type="4" refreshedVersion="0" background="1">
    <webPr xml="1" sourceData="1" url="D:\Dropbox (Personal)\Proyectos\Filosterra\website\data\Olmos.xml" htmlTables="1" htmlFormat="all"/>
  </connection>
  <connection id="18" xr16:uid="{080E7070-9CB1-40C8-AFC1-779365822148}" name="Olmos6" type="4" refreshedVersion="0" background="1">
    <webPr xml="1" sourceData="1" url="D:\Dropbox (Personal)\Proyectos\Filosterra\website\data\Olmos.xml" htmlTables="1" htmlFormat="all"/>
  </connection>
  <connection id="19" xr16:uid="{C9DB0EFD-4CF1-471E-A329-5528900B4D89}" name="Olmos7" type="4" refreshedVersion="0" background="1">
    <webPr xml="1" sourceData="1" url="D:\Dropbox (Personal)\Proyectos\Filosterra\website\data\Olmos.xml" htmlTables="1" htmlFormat="all"/>
  </connection>
  <connection id="20" xr16:uid="{28B6EB4C-9EA6-4D51-AB9C-52691186BCA4}" name="Olmos8" type="4" refreshedVersion="0" background="1">
    <webPr xml="1" sourceData="1" url="D:\Dropbox (Personal)\Proyectos\Filosterra\website\data\Olmos.xml" htmlTables="1" htmlFormat="all"/>
  </connection>
  <connection id="21" xr16:uid="{E30B51CB-894A-4F5A-B669-7324E993E91D}" name="Olmos9" type="4" refreshedVersion="0" background="1">
    <webPr xml="1" sourceData="1" url="D:\Dropbox (Personal)\Proyectos\Filosterra\website\data\Olmos.xml" htmlTables="1" htmlFormat="all"/>
  </connection>
  <connection id="22" xr16:uid="{D9B7794A-9300-4422-9FE6-737C282BCDFF}" keepAlive="1" name="Query - item" description="Connection to the 'item' query in the workbook." type="5" refreshedVersion="0" background="1">
    <dbPr connection="Provider=Microsoft.Mashup.OleDb.1;Data Source=$Workbook$;Location=item;Extended Properties=&quot;&quot;" command="SELECT * FROM [item]"/>
  </connection>
  <connection id="23" xr16:uid="{1F7846E7-3DEE-478D-A464-273CBE33C38D}" keepAlive="1" name="Query - Olmos xml" description="Connection to the 'Olmos xml' query in the workbook." type="5" refreshedVersion="0" background="1">
    <dbPr connection="Provider=Microsoft.Mashup.OleDb.1;Data Source=$Workbook$;Location=&quot;Olmos xml&quot;;Extended Properties=&quot;&quot;" command="SELECT * FROM [Olmos xml]"/>
  </connection>
  <connection id="24" xr16:uid="{A97AF7DE-0EDD-42F0-9003-48212132E2DA}" name="sauceda" type="4" refreshedVersion="0" background="1">
    <webPr xml="1" sourceData="1" url="D:\Dropbox (Personal)\Proyectos\Filosterra\website\data\Olmos.xml" htmlTables="1" htmlFormat="all"/>
  </connection>
  <connection id="25" xr16:uid="{1152C817-39A9-49E8-B3F2-C13623CE221F}" name="sauceda1" type="4" refreshedVersion="0" background="1">
    <webPr xml="1" sourceData="1" url="D:\Dropbox (Personal)\Proyectos\Filosterra\website\data\sauceda.xml" htmlTables="1" htmlFormat="all"/>
  </connection>
  <connection id="26" xr16:uid="{AC329AEA-9A10-4EEB-8F0B-2BEBDCF32964}" name="Sauceda2" type="4" refreshedVersion="0" background="1">
    <webPr xml="1" sourceData="1" url="D:\Dropbox (Personal)\Proyectos\Filosterra\website\data\Sauceda.xml" htmlTables="1" htmlFormat="all"/>
  </connection>
  <connection id="27" xr16:uid="{59B2F297-4087-4766-8A6E-DCBFD00CEFA3}" name="Sauceda3" type="4" refreshedVersion="0" background="1">
    <webPr xml="1" sourceData="1" url="D:\Dropbox (Personal)\Proyectos\Filosterra\website\data\Sauceda.xml" htmlTables="1" htmlFormat="all"/>
  </connection>
</connections>
</file>

<file path=xl/sharedStrings.xml><?xml version="1.0" encoding="utf-8"?>
<sst xmlns="http://schemas.openxmlformats.org/spreadsheetml/2006/main" count="236" uniqueCount="50">
  <si>
    <t>Id</t>
  </si>
  <si>
    <t>Status</t>
  </si>
  <si>
    <t>Vendido</t>
  </si>
  <si>
    <t>Disponible</t>
  </si>
  <si>
    <t>Precio m2</t>
  </si>
  <si>
    <t>Estatus</t>
  </si>
  <si>
    <t>Lote</t>
  </si>
  <si>
    <t>Etapa</t>
  </si>
  <si>
    <t>Manzana</t>
  </si>
  <si>
    <t>Area m2</t>
  </si>
  <si>
    <t>Precio venta</t>
  </si>
  <si>
    <t>1</t>
  </si>
  <si>
    <t>2</t>
  </si>
  <si>
    <t>3</t>
  </si>
  <si>
    <t>4</t>
  </si>
  <si>
    <t>5</t>
  </si>
  <si>
    <t>6</t>
  </si>
  <si>
    <t>7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</si>
  <si>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</si>
  <si>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</si>
  <si>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</si>
  <si>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</si>
  <si>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</si>
  <si>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</si>
  <si>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</si>
  <si>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</si>
  <si>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</si>
  <si>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17-a</t>
  </si>
  <si>
    <t>17-b</t>
  </si>
  <si>
    <t>17-c</t>
  </si>
  <si>
    <t>17-d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</si>
  <si>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</si>
  <si>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</si>
  <si>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</si>
  <si>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</si>
  <si>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</si>
  <si>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</si>
  <si>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</si>
  <si>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</si>
  <si>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</si>
  <si>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</si>
  <si>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</si>
  <si>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</si>
  <si>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</si>
  <si>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</si>
  <si>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</si>
  <si>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17a</t>
  </si>
  <si>
    <t>17b</t>
  </si>
  <si>
    <t>17c</t>
  </si>
  <si>
    <t>17d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</si>
</sst>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;[Red]\-&quot;$&quot;#,##0.00"/>
    <numFmt numFmtId="164" formatCode="&quot;$&quot;#,##0.00_);[Red]\(&quot;$&quot;#,##0.00\)"/>
  </numFmts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/>
    <xf numFmtId="164" fontId="0" fillId="0" borderId="0" xfId="0" applyNumberFormat="1"/>
    <xf numFmtId="8" fontId="0" fillId="0" borderId="0" xfId="0" applyNumberFormat="1"/>
    <xf numFmtId="0" fontId="2" fillId="0" borderId="0" xfId="0" applyFont="1"/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</cellXfs>
  <cellStyles count="1">
    <cellStyle name="Normal" xfId="0" builtinId="0"/>
  </cellStyles>
  <dxfs count="14"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3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string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integer"/>
                <xsd:attribute name="PrecioVenta" form="unqualified" type="xsd:string"/>
              </xsd:complexType>
            </xsd:element>
          </xsd:sequence>
        </xsd:complexType>
      </xsd:element>
    </xsd:schema>
  </Schema>
  <Schema ID="Schema4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string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integer"/>
                <xsd:attribute name="PrecioVenta" form="unqualified" type="xsd:string"/>
              </xsd:complexType>
            </xsd:element>
          </xsd:sequence>
        </xsd:complexType>
      </xsd:element>
    </xsd:schema>
  </Schema>
  <Map ID="8" Name="Map_Olmos" RootElement="data" SchemaID="Schema3" ShowImportExportValidationErrors="false" AutoFit="true" Append="false" PreserveSortAFLayout="true" PreserveFormat="true">
    <DataBinding FileBinding="true" ConnectionID="13" DataBindingLoadMode="1"/>
  </Map>
  <Map ID="10" Name="Map_Sauceda" RootElement="data" SchemaID="Schema4" ShowImportExportValidationErrors="false" AutoFit="true" Append="false" PreserveSortAFLayout="true" PreserveFormat="true">
    <DataBinding FileBinding="true" ConnectionID="27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xmlMaps" Target="xmlMap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79828FA-FC4C-4C7D-94A9-BF713F80B7DB}" name="Borrar4" displayName="Borrar4" ref="A3:H35" tableType="xml" totalsRowShown="0" connectionId="13">
  <autoFilter ref="A3:H35" xr:uid="{B6F4573A-8CB9-4F04-8F16-AA6CA6F4BB1D}"/>
  <tableColumns count="8">
    <tableColumn id="1" xr3:uid="{AA61A0F2-1984-4A0C-A245-6E2911CEABE9}" uniqueName="Id" name="Id" dataDxfId="13">
      <xmlColumnPr mapId="8" xpath="/data/item/@Id" xmlDataType="integer"/>
    </tableColumn>
    <tableColumn id="9" xr3:uid="{4537E7AE-AEDD-4BE4-AF7F-D809E10890E6}" uniqueName="Etapa" name="Etapa" dataDxfId="12">
      <xmlColumnPr mapId="8" xpath="/data/item/@Etapa" xmlDataType="integer"/>
    </tableColumn>
    <tableColumn id="7" xr3:uid="{7E76F309-A101-4515-8A63-39281828727C}" uniqueName="Manzana" name="Manzana" dataDxfId="11">
      <xmlColumnPr mapId="8" xpath="/data/item/@Manzana" xmlDataType="integer"/>
    </tableColumn>
    <tableColumn id="6" xr3:uid="{25761776-A684-4440-A702-2684B5B525A8}" uniqueName="Lote" name="Lote" dataDxfId="10">
      <xmlColumnPr mapId="8" xpath="/data/item/@Lote" xmlDataType="string"/>
    </tableColumn>
    <tableColumn id="4" xr3:uid="{B39CB980-12B7-475A-9F71-0A7C7F2B9539}" uniqueName="Status" name="Estatus" dataDxfId="9">
      <xmlColumnPr mapId="8" xpath="/data/item/@Status" xmlDataType="string"/>
    </tableColumn>
    <tableColumn id="2" xr3:uid="{EF5E28D2-ECB2-45CB-BD0E-FFE312D02092}" uniqueName="Terreno" name="Area m2">
      <xmlColumnPr mapId="8" xpath="/data/item/@Terreno" xmlDataType="integer"/>
    </tableColumn>
    <tableColumn id="5" xr3:uid="{E44B38E8-F9F6-4AD1-9B06-6140EE1ACA07}" uniqueName="PrecioUnitario" name="Precio m2" dataDxfId="8">
      <xmlColumnPr mapId="8" xpath="/data/item/@PrecioUnitario" xmlDataType="integer"/>
    </tableColumn>
    <tableColumn id="3" xr3:uid="{1D4C772A-411B-407F-916A-A6C07C435E7D}" uniqueName="PrecioVenta" name="Precio venta" dataDxfId="7">
      <calculatedColumnFormula>Borrar4[[#This Row],[Area m2]]*Borrar4[[#This Row],[Precio m2]]</calculatedColumnFormula>
      <xmlColumnPr mapId="8" xpath="/data/item/@PrecioVenta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6F4573A-8CB9-4F04-8F16-AA6CA6F4BB1D}" name="Borrar" displayName="Borrar" ref="A3:H38" tableType="xml" totalsRowShown="0" connectionId="27">
  <autoFilter ref="A3:H38" xr:uid="{B6F4573A-8CB9-4F04-8F16-AA6CA6F4BB1D}"/>
  <tableColumns count="8">
    <tableColumn id="1" xr3:uid="{41716C42-7DDA-4016-B841-2827C4E977D3}" uniqueName="Id" name="Id" dataDxfId="6">
      <xmlColumnPr mapId="10" xpath="/data/item/@Id" xmlDataType="integer"/>
    </tableColumn>
    <tableColumn id="9" xr3:uid="{8FE71FB5-C707-4B45-82C3-C2007E7019DD}" uniqueName="Etapa" name="Etapa" dataDxfId="5">
      <xmlColumnPr mapId="10" xpath="/data/item/@Etapa" xmlDataType="integer"/>
    </tableColumn>
    <tableColumn id="7" xr3:uid="{24F6FACA-C23A-4F64-B569-2D720EACAC61}" uniqueName="Manzana" name="Manzana" dataDxfId="4">
      <xmlColumnPr mapId="10" xpath="/data/item/@Manzana" xmlDataType="integer"/>
    </tableColumn>
    <tableColumn id="6" xr3:uid="{9B6130BE-EC29-4186-8C4C-AB84C0A37C8B}" uniqueName="Lote" name="Lote" dataDxfId="3">
      <xmlColumnPr mapId="10" xpath="/data/item/@Lote" xmlDataType="string"/>
    </tableColumn>
    <tableColumn id="4" xr3:uid="{9330E314-15C7-4EAF-8D8C-C2E5F6E9EEF0}" uniqueName="Status" name="Estatus" dataDxfId="2">
      <xmlColumnPr mapId="10" xpath="/data/item/@Status" xmlDataType="string"/>
    </tableColumn>
    <tableColumn id="2" xr3:uid="{1FEEF94B-2F36-4459-AC7F-77D583009438}" uniqueName="Terreno" name="Area m2">
      <xmlColumnPr mapId="10" xpath="/data/item/@Terreno" xmlDataType="integer"/>
    </tableColumn>
    <tableColumn id="5" xr3:uid="{588AC0DF-D7CD-461B-B78E-1B65B0554A04}" uniqueName="PrecioUnitario" name="Precio m2" dataDxfId="1">
      <xmlColumnPr mapId="10" xpath="/data/item/@PrecioUnitario" xmlDataType="integer"/>
    </tableColumn>
    <tableColumn id="3" xr3:uid="{26BE7702-8448-451C-BB18-4203745813D7}" uniqueName="PrecioVenta" name="Precio venta" dataDxfId="0">
      <calculatedColumnFormula>Borrar[[#This Row],[Area m2]]*Borrar[[#This Row],[Precio m2]]</calculatedColumnFormula>
      <xmlColumnPr mapId="10" xpath="/data/item/@PrecioVenta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80FD3DC-0DA2-477C-A89B-708299623FB6}" name="Estatus" displayName="Estatus" ref="A2:A4" totalsRowShown="0">
  <autoFilter ref="A2:A4" xr:uid="{A80FD3DC-0DA2-477C-A89B-708299623FB6}"/>
  <tableColumns count="1">
    <tableColumn id="1" xr3:uid="{D619B713-233D-42E4-9E17-613E21FE0E20}" name="Statu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828D55-596E-43A4-B3A7-F66676CB46B5}">
  <sheetPr codeName="Sheet3"/>
  <dimension ref="A1:H35"/>
  <sheetViews>
    <sheetView tabSelected="1" workbookViewId="0">
      <selection activeCell="I24" sqref="I24"/>
    </sheetView>
  </sheetViews>
  <sheetFormatPr defaultColWidth="9.140625" defaultRowHeight="15" x14ac:dyDescent="0.25"/>
  <cols>
    <col min="1" max="1" width="6.5703125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>
        <v>1</v>
      </c>
      <c r="B4" s="5">
        <v>1</v>
      </c>
      <c r="C4" s="5" t="s">
        <v>11</v>
      </c>
      <c r="D4" s="5">
        <v>1</v>
      </c>
      <c r="E4" s="1" t="s">
        <v>3</v>
      </c>
      <c r="F4">
        <v>152.36000000000001</v>
      </c>
      <c r="G4" s="3">
        <v>6000</v>
      </c>
      <c r="H4" s="2">
        <f>Borrar4[[#This Row],[Area m2]]*Borrar4[[#This Row],[Precio m2]]</f>
        <v>914160.00000000012</v>
      </c>
    </row>
    <row r="5" spans="1:8" x14ac:dyDescent="0.25">
      <c r="A5" s="5">
        <v>2</v>
      </c>
      <c r="B5" s="5">
        <v>1</v>
      </c>
      <c r="C5" s="5" t="s">
        <v>11</v>
      </c>
      <c r="D5" s="5">
        <v>2</v>
      </c>
      <c r="E5" s="1" t="s">
        <v>3</v>
      </c>
      <c r="F5">
        <v>150.62</v>
      </c>
      <c r="G5" s="3">
        <v>6000</v>
      </c>
      <c r="H5" s="2">
        <f>Borrar4[[#This Row],[Area m2]]*Borrar4[[#This Row],[Precio m2]]</f>
        <v>903720</v>
      </c>
    </row>
    <row r="6" spans="1:8" x14ac:dyDescent="0.25">
      <c r="A6" s="5">
        <v>3</v>
      </c>
      <c r="B6" s="5">
        <v>1</v>
      </c>
      <c r="C6" s="5" t="s">
        <v>11</v>
      </c>
      <c r="D6" s="5">
        <v>3</v>
      </c>
      <c r="E6" s="1" t="s">
        <v>3</v>
      </c>
      <c r="F6">
        <v>148.87</v>
      </c>
      <c r="G6" s="3">
        <v>6000</v>
      </c>
      <c r="H6" s="2">
        <f>Borrar4[[#This Row],[Area m2]]*Borrar4[[#This Row],[Precio m2]]</f>
        <v>893220</v>
      </c>
    </row>
    <row r="7" spans="1:8" x14ac:dyDescent="0.25">
      <c r="A7" s="5">
        <v>4</v>
      </c>
      <c r="B7" s="5">
        <v>1</v>
      </c>
      <c r="C7" s="5" t="s">
        <v>11</v>
      </c>
      <c r="D7" s="5">
        <v>4</v>
      </c>
      <c r="E7" s="1" t="s">
        <v>2</v>
      </c>
      <c r="F7">
        <v>147.12</v>
      </c>
      <c r="G7" s="3">
        <v>6000</v>
      </c>
      <c r="H7" s="2">
        <f>Borrar4[[#This Row],[Area m2]]*Borrar4[[#This Row],[Precio m2]]</f>
        <v>882720</v>
      </c>
    </row>
    <row r="8" spans="1:8" x14ac:dyDescent="0.25">
      <c r="A8" s="5">
        <v>5</v>
      </c>
      <c r="B8" s="5">
        <v>1</v>
      </c>
      <c r="C8" s="5" t="s">
        <v>11</v>
      </c>
      <c r="D8" s="5">
        <v>5</v>
      </c>
      <c r="E8" s="1" t="s">
        <v>3</v>
      </c>
      <c r="F8">
        <v>145.37</v>
      </c>
      <c r="G8" s="3">
        <v>6000</v>
      </c>
      <c r="H8" s="2">
        <f>Borrar4[[#This Row],[Area m2]]*Borrar4[[#This Row],[Precio m2]]</f>
        <v>872220</v>
      </c>
    </row>
    <row r="9" spans="1:8" x14ac:dyDescent="0.25">
      <c r="A9" s="5">
        <v>6</v>
      </c>
      <c r="B9" s="5">
        <v>1</v>
      </c>
      <c r="C9" s="5" t="s">
        <v>11</v>
      </c>
      <c r="D9" s="5">
        <v>6</v>
      </c>
      <c r="E9" s="1" t="s">
        <v>3</v>
      </c>
      <c r="F9">
        <v>143.62</v>
      </c>
      <c r="G9" s="3">
        <v>6000</v>
      </c>
      <c r="H9" s="2">
        <f>Borrar4[[#This Row],[Area m2]]*Borrar4[[#This Row],[Precio m2]]</f>
        <v>861720</v>
      </c>
    </row>
    <row r="10" spans="1:8" x14ac:dyDescent="0.25">
      <c r="A10" s="5">
        <v>7</v>
      </c>
      <c r="B10" s="5">
        <v>1</v>
      </c>
      <c r="C10" s="5" t="s">
        <v>11</v>
      </c>
      <c r="D10" s="5">
        <v>7</v>
      </c>
      <c r="E10" s="1" t="s">
        <v>3</v>
      </c>
      <c r="F10">
        <v>141.88</v>
      </c>
      <c r="G10" s="3">
        <v>6000</v>
      </c>
      <c r="H10" s="2">
        <f>Borrar4[[#This Row],[Area m2]]*Borrar4[[#This Row],[Precio m2]]</f>
        <v>851280</v>
      </c>
    </row>
    <row r="11" spans="1:8" x14ac:dyDescent="0.25">
      <c r="A11" s="5">
        <v>8</v>
      </c>
      <c r="B11" s="5">
        <v>1</v>
      </c>
      <c r="C11" s="5" t="s">
        <v>11</v>
      </c>
      <c r="D11" s="5">
        <v>8</v>
      </c>
      <c r="E11" s="1" t="s">
        <v>3</v>
      </c>
      <c r="F11">
        <v>140.13</v>
      </c>
      <c r="G11" s="3">
        <v>6000</v>
      </c>
      <c r="H11" s="2">
        <f>Borrar4[[#This Row],[Area m2]]*Borrar4[[#This Row],[Precio m2]]</f>
        <v>840780</v>
      </c>
    </row>
    <row r="12" spans="1:8" x14ac:dyDescent="0.25">
      <c r="A12" s="5">
        <v>9</v>
      </c>
      <c r="B12" s="5">
        <v>1</v>
      </c>
      <c r="C12" s="5" t="s">
        <v>11</v>
      </c>
      <c r="D12" s="5">
        <v>9</v>
      </c>
      <c r="E12" s="1" t="s">
        <v>2</v>
      </c>
      <c r="F12">
        <v>138.38</v>
      </c>
      <c r="G12" s="3">
        <v>6000</v>
      </c>
      <c r="H12" s="2">
        <f>Borrar4[[#This Row],[Area m2]]*Borrar4[[#This Row],[Precio m2]]</f>
        <v>830280</v>
      </c>
    </row>
    <row r="13" spans="1:8" x14ac:dyDescent="0.25">
      <c r="A13" s="5">
        <v>10</v>
      </c>
      <c r="B13" s="5">
        <v>1</v>
      </c>
      <c r="C13" s="5" t="s">
        <v>11</v>
      </c>
      <c r="D13" s="5">
        <v>10</v>
      </c>
      <c r="E13" s="1" t="s">
        <v>3</v>
      </c>
      <c r="F13">
        <v>136.63</v>
      </c>
      <c r="G13" s="3">
        <v>6000</v>
      </c>
      <c r="H13" s="2">
        <f>Borrar4[[#This Row],[Area m2]]*Borrar4[[#This Row],[Precio m2]]</f>
        <v>819780</v>
      </c>
    </row>
    <row r="14" spans="1:8" x14ac:dyDescent="0.25">
      <c r="A14" s="5">
        <v>11</v>
      </c>
      <c r="B14" s="5" t="s">
        <v>11</v>
      </c>
      <c r="C14" s="5" t="s">
        <v>11</v>
      </c>
      <c r="D14" s="5">
        <v>11</v>
      </c>
      <c r="E14" s="1" t="s">
        <v>3</v>
      </c>
      <c r="F14">
        <v>134.88999999999999</v>
      </c>
      <c r="G14" s="3">
        <v>6000</v>
      </c>
      <c r="H14" s="2">
        <f>Borrar4[[#This Row],[Area m2]]*Borrar4[[#This Row],[Precio m2]]</f>
        <v>809339.99999999988</v>
      </c>
    </row>
    <row r="15" spans="1:8" x14ac:dyDescent="0.25">
      <c r="A15" s="5" t="s">
        <v>21</v>
      </c>
      <c r="B15" s="5" t="s">
        <v>11</v>
      </c>
      <c r="C15" s="5" t="s">
        <v>11</v>
      </c>
      <c r="D15" s="5" t="s">
        <v>21</v>
      </c>
      <c r="E15" s="1" t="s">
        <v>3</v>
      </c>
      <c r="F15">
        <v>133.13999999999999</v>
      </c>
      <c r="G15" s="3">
        <v>6000</v>
      </c>
      <c r="H15" s="2">
        <f>Borrar4[[#This Row],[Area m2]]*Borrar4[[#This Row],[Precio m2]]</f>
        <v>798839.99999999988</v>
      </c>
    </row>
    <row r="16" spans="1:8" x14ac:dyDescent="0.25">
      <c r="A16" s="5" t="s">
        <v>22</v>
      </c>
      <c r="B16" s="5" t="s">
        <v>11</v>
      </c>
      <c r="C16" s="5" t="s">
        <v>11</v>
      </c>
      <c r="D16" s="5" t="s">
        <v>22</v>
      </c>
      <c r="E16" s="1" t="s">
        <v>3</v>
      </c>
      <c r="F16">
        <v>282.68</v>
      </c>
      <c r="G16" s="3">
        <v>6000</v>
      </c>
      <c r="H16" s="2">
        <f>Borrar4[[#This Row],[Area m2]]*Borrar4[[#This Row],[Precio m2]]</f>
        <v>1696080</v>
      </c>
    </row>
    <row r="17" spans="1:8" x14ac:dyDescent="0.25">
      <c r="A17" s="5" t="s">
        <v>23</v>
      </c>
      <c r="B17" s="5" t="s">
        <v>11</v>
      </c>
      <c r="C17" s="5" t="s">
        <v>11</v>
      </c>
      <c r="D17" s="5" t="s">
        <v>23</v>
      </c>
      <c r="E17" s="1" t="s">
        <v>3</v>
      </c>
      <c r="F17">
        <v>148.33000000000001</v>
      </c>
      <c r="G17" s="3">
        <v>6000</v>
      </c>
      <c r="H17" s="2">
        <f>Borrar4[[#This Row],[Area m2]]*Borrar4[[#This Row],[Precio m2]]</f>
        <v>889980.00000000012</v>
      </c>
    </row>
    <row r="18" spans="1:8" x14ac:dyDescent="0.25">
      <c r="A18" s="5">
        <v>15</v>
      </c>
      <c r="B18" s="5" t="s">
        <v>11</v>
      </c>
      <c r="C18" s="5" t="s">
        <v>11</v>
      </c>
      <c r="D18" s="5">
        <v>15</v>
      </c>
      <c r="E18" s="1" t="s">
        <v>3</v>
      </c>
      <c r="F18">
        <v>129.6</v>
      </c>
      <c r="G18" s="3">
        <v>6000</v>
      </c>
      <c r="H18" s="2">
        <f>Borrar4[[#This Row],[Area m2]]*Borrar4[[#This Row],[Precio m2]]</f>
        <v>777600</v>
      </c>
    </row>
    <row r="19" spans="1:8" x14ac:dyDescent="0.25">
      <c r="A19" s="5">
        <v>16</v>
      </c>
      <c r="B19" s="5" t="s">
        <v>11</v>
      </c>
      <c r="C19" s="5" t="s">
        <v>11</v>
      </c>
      <c r="D19" s="5">
        <v>16</v>
      </c>
      <c r="E19" s="1" t="s">
        <v>3</v>
      </c>
      <c r="F19">
        <v>129.6</v>
      </c>
      <c r="G19" s="3">
        <v>6000</v>
      </c>
      <c r="H19" s="2">
        <f>Borrar4[[#This Row],[Area m2]]*Borrar4[[#This Row],[Precio m2]]</f>
        <v>777600</v>
      </c>
    </row>
    <row r="20" spans="1:8" x14ac:dyDescent="0.25">
      <c r="A20" s="5">
        <v>17</v>
      </c>
      <c r="B20" s="5" t="s">
        <v>11</v>
      </c>
      <c r="C20" s="5" t="s">
        <v>11</v>
      </c>
      <c r="D20" s="5">
        <v>17</v>
      </c>
      <c r="E20" s="1" t="s">
        <v>3</v>
      </c>
      <c r="F20">
        <v>161.27000000000001</v>
      </c>
      <c r="G20" s="3">
        <v>6000</v>
      </c>
      <c r="H20" s="2">
        <f>Borrar4[[#This Row],[Area m2]]*Borrar4[[#This Row],[Precio m2]]</f>
        <v>967620.00000000012</v>
      </c>
    </row>
    <row r="21" spans="1:8" x14ac:dyDescent="0.25">
      <c r="A21" s="5">
        <v>18</v>
      </c>
      <c r="B21" s="5" t="s">
        <v>11</v>
      </c>
      <c r="C21" s="5" t="s">
        <v>11</v>
      </c>
      <c r="D21" s="5">
        <v>18</v>
      </c>
      <c r="E21" s="1" t="s">
        <v>3</v>
      </c>
      <c r="F21">
        <v>609.76</v>
      </c>
      <c r="G21" s="3">
        <v>6000</v>
      </c>
      <c r="H21" s="2">
        <f>Borrar4[[#This Row],[Area m2]]*Borrar4[[#This Row],[Precio m2]]</f>
        <v>3658560</v>
      </c>
    </row>
    <row r="22" spans="1:8" x14ac:dyDescent="0.25">
      <c r="A22" s="5">
        <v>19</v>
      </c>
      <c r="B22" s="5" t="s">
        <v>11</v>
      </c>
      <c r="C22" s="5" t="s">
        <v>11</v>
      </c>
      <c r="D22" s="5">
        <v>19</v>
      </c>
      <c r="E22" s="1" t="s">
        <v>3</v>
      </c>
      <c r="F22">
        <v>232.4</v>
      </c>
      <c r="G22" s="3">
        <v>6000</v>
      </c>
      <c r="H22" s="2">
        <f>Borrar4[[#This Row],[Area m2]]*Borrar4[[#This Row],[Precio m2]]</f>
        <v>1394400</v>
      </c>
    </row>
    <row r="23" spans="1:8" x14ac:dyDescent="0.25">
      <c r="A23" s="5">
        <v>20</v>
      </c>
      <c r="B23" s="5" t="s">
        <v>11</v>
      </c>
      <c r="C23" s="5" t="s">
        <v>11</v>
      </c>
      <c r="D23" s="5">
        <v>20</v>
      </c>
      <c r="E23" s="1" t="s">
        <v>3</v>
      </c>
      <c r="F23">
        <v>203.29</v>
      </c>
      <c r="G23" s="3">
        <v>6000</v>
      </c>
      <c r="H23" s="2">
        <f>Borrar4[[#This Row],[Area m2]]*Borrar4[[#This Row],[Precio m2]]</f>
        <v>1219740</v>
      </c>
    </row>
    <row r="24" spans="1:8" x14ac:dyDescent="0.25">
      <c r="A24" s="5">
        <v>21</v>
      </c>
      <c r="B24" s="5" t="s">
        <v>11</v>
      </c>
      <c r="C24" s="5" t="s">
        <v>11</v>
      </c>
      <c r="D24" s="5">
        <v>21</v>
      </c>
      <c r="E24" s="1" t="s">
        <v>3</v>
      </c>
      <c r="F24">
        <v>134.72</v>
      </c>
      <c r="G24" s="3">
        <v>6000</v>
      </c>
      <c r="H24" s="2">
        <f>Borrar4[[#This Row],[Area m2]]*Borrar4[[#This Row],[Precio m2]]</f>
        <v>808320</v>
      </c>
    </row>
    <row r="25" spans="1:8" x14ac:dyDescent="0.25">
      <c r="A25" s="5">
        <v>22</v>
      </c>
      <c r="B25" s="5" t="s">
        <v>11</v>
      </c>
      <c r="C25" s="5" t="s">
        <v>11</v>
      </c>
      <c r="D25" s="5">
        <v>22</v>
      </c>
      <c r="E25" s="1" t="s">
        <v>3</v>
      </c>
      <c r="F25">
        <v>136.33000000000001</v>
      </c>
      <c r="G25" s="3">
        <v>6000</v>
      </c>
      <c r="H25" s="2">
        <f>Borrar4[[#This Row],[Area m2]]*Borrar4[[#This Row],[Precio m2]]</f>
        <v>817980.00000000012</v>
      </c>
    </row>
    <row r="26" spans="1:8" x14ac:dyDescent="0.25">
      <c r="A26" s="5">
        <v>23</v>
      </c>
      <c r="B26" s="5" t="s">
        <v>11</v>
      </c>
      <c r="C26" s="5" t="s">
        <v>11</v>
      </c>
      <c r="D26" s="5">
        <v>23</v>
      </c>
      <c r="E26" s="1" t="s">
        <v>2</v>
      </c>
      <c r="F26">
        <v>137.49</v>
      </c>
      <c r="G26" s="3">
        <v>6000</v>
      </c>
      <c r="H26" s="2">
        <f>Borrar4[[#This Row],[Area m2]]*Borrar4[[#This Row],[Precio m2]]</f>
        <v>824940</v>
      </c>
    </row>
    <row r="27" spans="1:8" x14ac:dyDescent="0.25">
      <c r="A27" s="5">
        <v>24</v>
      </c>
      <c r="B27" s="5" t="s">
        <v>11</v>
      </c>
      <c r="C27" s="5" t="s">
        <v>11</v>
      </c>
      <c r="D27" s="5">
        <v>24</v>
      </c>
      <c r="E27" s="1" t="s">
        <v>3</v>
      </c>
      <c r="F27">
        <v>138.65</v>
      </c>
      <c r="G27" s="3">
        <v>6000</v>
      </c>
      <c r="H27" s="2">
        <f>Borrar4[[#This Row],[Area m2]]*Borrar4[[#This Row],[Precio m2]]</f>
        <v>831900</v>
      </c>
    </row>
    <row r="28" spans="1:8" x14ac:dyDescent="0.25">
      <c r="A28" s="5">
        <v>25</v>
      </c>
      <c r="B28" s="5" t="s">
        <v>11</v>
      </c>
      <c r="C28" s="5" t="s">
        <v>11</v>
      </c>
      <c r="D28" s="5">
        <v>25</v>
      </c>
      <c r="E28" s="1" t="s">
        <v>3</v>
      </c>
      <c r="F28">
        <v>139.81</v>
      </c>
      <c r="G28" s="3">
        <v>6000</v>
      </c>
      <c r="H28" s="2">
        <f>Borrar4[[#This Row],[Area m2]]*Borrar4[[#This Row],[Precio m2]]</f>
        <v>838860</v>
      </c>
    </row>
    <row r="29" spans="1:8" x14ac:dyDescent="0.25">
      <c r="A29" s="5">
        <v>26</v>
      </c>
      <c r="B29" s="5" t="s">
        <v>11</v>
      </c>
      <c r="C29" s="5" t="s">
        <v>11</v>
      </c>
      <c r="D29" s="5">
        <v>26</v>
      </c>
      <c r="E29" s="1" t="s">
        <v>3</v>
      </c>
      <c r="F29">
        <v>140.97</v>
      </c>
      <c r="G29" s="3">
        <v>6000</v>
      </c>
      <c r="H29" s="2">
        <f>Borrar4[[#This Row],[Area m2]]*Borrar4[[#This Row],[Precio m2]]</f>
        <v>845820</v>
      </c>
    </row>
    <row r="30" spans="1:8" x14ac:dyDescent="0.25">
      <c r="A30" s="5">
        <v>27</v>
      </c>
      <c r="B30" s="5" t="s">
        <v>11</v>
      </c>
      <c r="C30" s="5" t="s">
        <v>11</v>
      </c>
      <c r="D30" s="5">
        <v>27</v>
      </c>
      <c r="E30" s="1" t="s">
        <v>3</v>
      </c>
      <c r="F30">
        <v>142.13</v>
      </c>
      <c r="G30" s="3">
        <v>6000</v>
      </c>
      <c r="H30" s="2">
        <f>Borrar4[[#This Row],[Area m2]]*Borrar4[[#This Row],[Precio m2]]</f>
        <v>852780</v>
      </c>
    </row>
    <row r="31" spans="1:8" x14ac:dyDescent="0.25">
      <c r="A31" s="5">
        <v>28</v>
      </c>
      <c r="B31" s="5" t="s">
        <v>11</v>
      </c>
      <c r="C31" s="5" t="s">
        <v>11</v>
      </c>
      <c r="D31" s="5">
        <v>28</v>
      </c>
      <c r="E31" s="1" t="s">
        <v>3</v>
      </c>
      <c r="F31">
        <v>143.29</v>
      </c>
      <c r="G31" s="3">
        <v>6000</v>
      </c>
      <c r="H31" s="2">
        <f>Borrar4[[#This Row],[Area m2]]*Borrar4[[#This Row],[Precio m2]]</f>
        <v>859740</v>
      </c>
    </row>
    <row r="32" spans="1:8" x14ac:dyDescent="0.25">
      <c r="A32" s="5">
        <v>29</v>
      </c>
      <c r="B32" s="5" t="s">
        <v>11</v>
      </c>
      <c r="C32" s="5" t="s">
        <v>11</v>
      </c>
      <c r="D32" s="5">
        <v>29</v>
      </c>
      <c r="E32" s="1" t="s">
        <v>3</v>
      </c>
      <c r="F32">
        <v>144.44999999999999</v>
      </c>
      <c r="G32" s="3">
        <v>6000</v>
      </c>
      <c r="H32" s="2">
        <f>Borrar4[[#This Row],[Area m2]]*Borrar4[[#This Row],[Precio m2]]</f>
        <v>866699.99999999988</v>
      </c>
    </row>
    <row r="33" spans="1:8" x14ac:dyDescent="0.25">
      <c r="A33" s="5">
        <v>30</v>
      </c>
      <c r="B33" s="5" t="s">
        <v>11</v>
      </c>
      <c r="C33" s="5" t="s">
        <v>11</v>
      </c>
      <c r="D33" s="5">
        <v>30</v>
      </c>
      <c r="E33" s="1" t="s">
        <v>3</v>
      </c>
      <c r="F33">
        <v>145.62</v>
      </c>
      <c r="G33" s="3">
        <v>6000</v>
      </c>
      <c r="H33" s="2">
        <f>Borrar4[[#This Row],[Area m2]]*Borrar4[[#This Row],[Precio m2]]</f>
        <v>873720</v>
      </c>
    </row>
    <row r="34" spans="1:8" x14ac:dyDescent="0.25">
      <c r="A34" s="5">
        <v>31</v>
      </c>
      <c r="B34" s="5" t="s">
        <v>11</v>
      </c>
      <c r="C34" s="5" t="s">
        <v>11</v>
      </c>
      <c r="D34" s="5">
        <v>31</v>
      </c>
      <c r="E34" s="1" t="s">
        <v>3</v>
      </c>
      <c r="F34">
        <v>146.53</v>
      </c>
      <c r="G34" s="3">
        <v>6000</v>
      </c>
      <c r="H34" s="2">
        <f>Borrar4[[#This Row],[Area m2]]*Borrar4[[#This Row],[Precio m2]]</f>
        <v>879180</v>
      </c>
    </row>
    <row r="35" spans="1:8" x14ac:dyDescent="0.25">
      <c r="A35" s="5">
        <v>32</v>
      </c>
      <c r="B35" s="5" t="s">
        <v>11</v>
      </c>
      <c r="C35" s="5" t="s">
        <v>11</v>
      </c>
      <c r="D35" s="5">
        <v>32</v>
      </c>
      <c r="E35" s="1" t="s">
        <v>3</v>
      </c>
      <c r="F35">
        <v>169.39</v>
      </c>
      <c r="G35" s="3">
        <v>6000</v>
      </c>
      <c r="H35" s="2">
        <f>Borrar4[[#This Row],[Area m2]]*Borrar4[[#This Row],[Precio m2]]</f>
        <v>1016339.9999999999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2049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C24879A-EA38-480C-ABD5-76F11516311D}">
          <x14:formula1>
            <xm:f>'#Catalogs'!$A$3:$A$4</xm:f>
          </x14:formula1>
          <xm:sqref>E4:E35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89390-F333-403C-923A-F57F3BFBB754}">
  <sheetPr codeName="Sheet1"/>
  <dimension ref="A1:H38"/>
  <sheetViews>
    <sheetView workbookViewId="0">
      <selection activeCell="B4" sqref="B4:B38"/>
    </sheetView>
  </sheetViews>
  <sheetFormatPr defaultColWidth="9.140625" defaultRowHeight="15" x14ac:dyDescent="0.25"/>
  <cols>
    <col min="1" max="1" width="6.5703125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>
        <v>1</v>
      </c>
      <c r="B4" s="5">
        <v>1</v>
      </c>
      <c r="C4" s="5" t="s">
        <v>11</v>
      </c>
      <c r="D4" s="5" t="s">
        <v>11</v>
      </c>
      <c r="E4" s="1" t="s">
        <v>3</v>
      </c>
      <c r="F4">
        <v>139.4</v>
      </c>
      <c r="G4" s="3">
        <v>6000</v>
      </c>
      <c r="H4" s="2">
        <f>Borrar[[#This Row],[Area m2]]*Borrar[[#This Row],[Precio m2]]</f>
        <v>836400</v>
      </c>
    </row>
    <row r="5" spans="1:8" x14ac:dyDescent="0.25">
      <c r="A5" s="5">
        <v>2</v>
      </c>
      <c r="B5" s="5">
        <v>1</v>
      </c>
      <c r="C5" s="5" t="s">
        <v>11</v>
      </c>
      <c r="D5" s="5" t="s">
        <v>12</v>
      </c>
      <c r="E5" s="1" t="s">
        <v>3</v>
      </c>
      <c r="F5">
        <v>139.47999999999999</v>
      </c>
      <c r="G5" s="3">
        <v>6000</v>
      </c>
      <c r="H5" s="2">
        <f>Borrar[[#This Row],[Area m2]]*Borrar[[#This Row],[Precio m2]]</f>
        <v>836879.99999999988</v>
      </c>
    </row>
    <row r="6" spans="1:8" x14ac:dyDescent="0.25">
      <c r="A6" s="5">
        <v>3</v>
      </c>
      <c r="B6" s="5">
        <v>1</v>
      </c>
      <c r="C6" s="5" t="s">
        <v>11</v>
      </c>
      <c r="D6" s="5" t="s">
        <v>13</v>
      </c>
      <c r="E6" s="1" t="s">
        <v>3</v>
      </c>
      <c r="F6">
        <v>139.44999999999999</v>
      </c>
      <c r="G6" s="3">
        <v>6000</v>
      </c>
      <c r="H6" s="2">
        <f>Borrar[[#This Row],[Area m2]]*Borrar[[#This Row],[Precio m2]]</f>
        <v>836699.99999999988</v>
      </c>
    </row>
    <row r="7" spans="1:8" x14ac:dyDescent="0.25">
      <c r="A7" s="5">
        <v>4</v>
      </c>
      <c r="B7" s="5">
        <v>1</v>
      </c>
      <c r="C7" s="5" t="s">
        <v>11</v>
      </c>
      <c r="D7" s="5" t="s">
        <v>14</v>
      </c>
      <c r="E7" s="1" t="s">
        <v>2</v>
      </c>
      <c r="F7">
        <v>134.19</v>
      </c>
      <c r="G7" s="3">
        <v>6000</v>
      </c>
      <c r="H7" s="2">
        <f>Borrar[[#This Row],[Area m2]]*Borrar[[#This Row],[Precio m2]]</f>
        <v>805140</v>
      </c>
    </row>
    <row r="8" spans="1:8" x14ac:dyDescent="0.25">
      <c r="A8" s="5">
        <v>5</v>
      </c>
      <c r="B8" s="5">
        <v>1</v>
      </c>
      <c r="C8" s="5" t="s">
        <v>11</v>
      </c>
      <c r="D8" s="5" t="s">
        <v>15</v>
      </c>
      <c r="E8" s="1" t="s">
        <v>3</v>
      </c>
      <c r="F8">
        <v>144.68</v>
      </c>
      <c r="G8" s="3">
        <v>6000</v>
      </c>
      <c r="H8" s="2">
        <f>Borrar[[#This Row],[Area m2]]*Borrar[[#This Row],[Precio m2]]</f>
        <v>868080</v>
      </c>
    </row>
    <row r="9" spans="1:8" x14ac:dyDescent="0.25">
      <c r="A9" s="5">
        <v>6</v>
      </c>
      <c r="B9" s="5">
        <v>1</v>
      </c>
      <c r="C9" s="5" t="s">
        <v>11</v>
      </c>
      <c r="D9" s="5" t="s">
        <v>16</v>
      </c>
      <c r="E9" s="1" t="s">
        <v>3</v>
      </c>
      <c r="F9">
        <v>156.66</v>
      </c>
      <c r="G9" s="3">
        <v>6000</v>
      </c>
      <c r="H9" s="2">
        <f>Borrar[[#This Row],[Area m2]]*Borrar[[#This Row],[Precio m2]]</f>
        <v>939960</v>
      </c>
    </row>
    <row r="10" spans="1:8" x14ac:dyDescent="0.25">
      <c r="A10" s="5">
        <v>7</v>
      </c>
      <c r="B10" s="5">
        <v>1</v>
      </c>
      <c r="C10" s="5" t="s">
        <v>11</v>
      </c>
      <c r="D10" s="5" t="s">
        <v>17</v>
      </c>
      <c r="E10" s="1" t="s">
        <v>3</v>
      </c>
      <c r="F10">
        <v>168.8</v>
      </c>
      <c r="G10" s="3">
        <v>6000</v>
      </c>
      <c r="H10" s="2">
        <f>Borrar[[#This Row],[Area m2]]*Borrar[[#This Row],[Precio m2]]</f>
        <v>1012800.0000000001</v>
      </c>
    </row>
    <row r="11" spans="1:8" x14ac:dyDescent="0.25">
      <c r="A11" s="5">
        <v>9</v>
      </c>
      <c r="B11" s="5">
        <v>1</v>
      </c>
      <c r="C11" s="5" t="s">
        <v>11</v>
      </c>
      <c r="D11" s="5" t="s">
        <v>18</v>
      </c>
      <c r="E11" s="1" t="s">
        <v>3</v>
      </c>
      <c r="F11">
        <v>128.46</v>
      </c>
      <c r="G11" s="3">
        <v>6000</v>
      </c>
      <c r="H11" s="2">
        <f>Borrar[[#This Row],[Area m2]]*Borrar[[#This Row],[Precio m2]]</f>
        <v>770760</v>
      </c>
    </row>
    <row r="12" spans="1:8" x14ac:dyDescent="0.25">
      <c r="A12" s="5">
        <v>10</v>
      </c>
      <c r="B12" s="5">
        <v>1</v>
      </c>
      <c r="C12" s="5" t="s">
        <v>11</v>
      </c>
      <c r="D12" s="5" t="s">
        <v>19</v>
      </c>
      <c r="E12" s="1" t="s">
        <v>3</v>
      </c>
      <c r="F12">
        <v>128.51</v>
      </c>
      <c r="G12" s="3">
        <v>6000</v>
      </c>
      <c r="H12" s="2">
        <f>Borrar[[#This Row],[Area m2]]*Borrar[[#This Row],[Precio m2]]</f>
        <v>771060</v>
      </c>
    </row>
    <row r="13" spans="1:8" x14ac:dyDescent="0.25">
      <c r="A13" s="5">
        <v>11</v>
      </c>
      <c r="B13" s="5">
        <v>1</v>
      </c>
      <c r="C13" s="5" t="s">
        <v>11</v>
      </c>
      <c r="D13" s="5" t="s">
        <v>20</v>
      </c>
      <c r="E13" s="1" t="s">
        <v>3</v>
      </c>
      <c r="F13">
        <v>138.29</v>
      </c>
      <c r="G13" s="3">
        <v>6000</v>
      </c>
      <c r="H13" s="2">
        <f>Borrar[[#This Row],[Area m2]]*Borrar[[#This Row],[Precio m2]]</f>
        <v>829740</v>
      </c>
    </row>
    <row r="14" spans="1:8" x14ac:dyDescent="0.25">
      <c r="A14" s="5">
        <v>12</v>
      </c>
      <c r="B14" s="5">
        <v>1</v>
      </c>
      <c r="C14" s="5" t="s">
        <v>11</v>
      </c>
      <c r="D14" s="5" t="s">
        <v>21</v>
      </c>
      <c r="E14" s="1" t="s">
        <v>3</v>
      </c>
      <c r="F14">
        <v>143.65</v>
      </c>
      <c r="G14" s="3">
        <v>6000</v>
      </c>
      <c r="H14" s="2">
        <f>Borrar[[#This Row],[Area m2]]*Borrar[[#This Row],[Precio m2]]</f>
        <v>861900</v>
      </c>
    </row>
    <row r="15" spans="1:8" x14ac:dyDescent="0.25">
      <c r="A15" s="5">
        <v>13</v>
      </c>
      <c r="B15" s="5">
        <v>1</v>
      </c>
      <c r="C15" s="5" t="s">
        <v>11</v>
      </c>
      <c r="D15" s="5" t="s">
        <v>22</v>
      </c>
      <c r="E15" s="1" t="s">
        <v>2</v>
      </c>
      <c r="F15">
        <v>148.1</v>
      </c>
      <c r="G15" s="3">
        <v>6000</v>
      </c>
      <c r="H15" s="2">
        <f>Borrar[[#This Row],[Area m2]]*Borrar[[#This Row],[Precio m2]]</f>
        <v>888600</v>
      </c>
    </row>
    <row r="16" spans="1:8" x14ac:dyDescent="0.25">
      <c r="A16" s="5">
        <v>14</v>
      </c>
      <c r="B16" s="5">
        <v>1</v>
      </c>
      <c r="C16" s="5" t="s">
        <v>11</v>
      </c>
      <c r="D16" s="5" t="s">
        <v>23</v>
      </c>
      <c r="E16" s="1" t="s">
        <v>3</v>
      </c>
      <c r="F16">
        <v>147.19999999999999</v>
      </c>
      <c r="G16" s="3">
        <v>6000</v>
      </c>
      <c r="H16" s="2">
        <f>Borrar[[#This Row],[Area m2]]*Borrar[[#This Row],[Precio m2]]</f>
        <v>883199.99999999988</v>
      </c>
    </row>
    <row r="17" spans="1:8" x14ac:dyDescent="0.25">
      <c r="A17" s="5">
        <v>15</v>
      </c>
      <c r="B17" s="5">
        <v>1</v>
      </c>
      <c r="C17" s="5" t="s">
        <v>11</v>
      </c>
      <c r="D17" s="5" t="s">
        <v>24</v>
      </c>
      <c r="E17" s="1" t="s">
        <v>3</v>
      </c>
      <c r="F17">
        <v>117.38</v>
      </c>
      <c r="G17" s="3">
        <v>6000</v>
      </c>
      <c r="H17" s="2">
        <f>Borrar[[#This Row],[Area m2]]*Borrar[[#This Row],[Precio m2]]</f>
        <v>704280</v>
      </c>
    </row>
    <row r="18" spans="1:8" x14ac:dyDescent="0.25">
      <c r="A18" s="5">
        <v>16</v>
      </c>
      <c r="B18" s="5">
        <v>1</v>
      </c>
      <c r="C18" s="5" t="s">
        <v>11</v>
      </c>
      <c r="D18" s="5" t="s">
        <v>25</v>
      </c>
      <c r="E18" s="1" t="s">
        <v>3</v>
      </c>
      <c r="F18">
        <v>117.6</v>
      </c>
      <c r="G18" s="3">
        <v>6000</v>
      </c>
      <c r="H18" s="2">
        <f>Borrar[[#This Row],[Area m2]]*Borrar[[#This Row],[Precio m2]]</f>
        <v>705600</v>
      </c>
    </row>
    <row r="19" spans="1:8" x14ac:dyDescent="0.25">
      <c r="A19" s="5" t="s">
        <v>26</v>
      </c>
      <c r="B19" s="5">
        <v>1</v>
      </c>
      <c r="C19" s="5" t="s">
        <v>11</v>
      </c>
      <c r="D19" s="5" t="s">
        <v>26</v>
      </c>
      <c r="E19" s="1" t="s">
        <v>3</v>
      </c>
      <c r="F19">
        <v>117.14</v>
      </c>
      <c r="G19" s="3">
        <v>6000</v>
      </c>
      <c r="H19" s="2">
        <f>Borrar[[#This Row],[Area m2]]*Borrar[[#This Row],[Precio m2]]</f>
        <v>702840</v>
      </c>
    </row>
    <row r="20" spans="1:8" x14ac:dyDescent="0.25">
      <c r="A20" s="5" t="s">
        <v>46</v>
      </c>
      <c r="B20" s="5">
        <v>1</v>
      </c>
      <c r="C20" s="5" t="s">
        <v>11</v>
      </c>
      <c r="D20" s="5" t="s">
        <v>27</v>
      </c>
      <c r="E20" s="1" t="s">
        <v>3</v>
      </c>
      <c r="F20">
        <v>149.59</v>
      </c>
      <c r="G20" s="3">
        <v>6000</v>
      </c>
      <c r="H20" s="2">
        <f>Borrar[[#This Row],[Area m2]]*Borrar[[#This Row],[Precio m2]]</f>
        <v>897540</v>
      </c>
    </row>
    <row r="21" spans="1:8" x14ac:dyDescent="0.25">
      <c r="A21" s="5" t="s">
        <v>47</v>
      </c>
      <c r="B21" s="5">
        <v>1</v>
      </c>
      <c r="C21" s="5" t="s">
        <v>11</v>
      </c>
      <c r="D21" s="5" t="s">
        <v>28</v>
      </c>
      <c r="E21" s="1" t="s">
        <v>3</v>
      </c>
      <c r="F21">
        <v>149.87</v>
      </c>
      <c r="G21" s="3">
        <v>6000</v>
      </c>
      <c r="H21" s="2">
        <f>Borrar[[#This Row],[Area m2]]*Borrar[[#This Row],[Precio m2]]</f>
        <v>899220</v>
      </c>
    </row>
    <row r="22" spans="1:8" x14ac:dyDescent="0.25">
      <c r="A22" s="5" t="s">
        <v>48</v>
      </c>
      <c r="B22" s="5">
        <v>1</v>
      </c>
      <c r="C22" s="5" t="s">
        <v>11</v>
      </c>
      <c r="D22" s="5" t="s">
        <v>29</v>
      </c>
      <c r="E22" s="1" t="s">
        <v>3</v>
      </c>
      <c r="F22">
        <v>131.63999999999999</v>
      </c>
      <c r="G22" s="3">
        <v>6000</v>
      </c>
      <c r="H22" s="2">
        <f>Borrar[[#This Row],[Area m2]]*Borrar[[#This Row],[Precio m2]]</f>
        <v>789839.99999999988</v>
      </c>
    </row>
    <row r="23" spans="1:8" x14ac:dyDescent="0.25">
      <c r="A23" s="5" t="s">
        <v>49</v>
      </c>
      <c r="B23" s="5">
        <v>1</v>
      </c>
      <c r="C23" s="5" t="s">
        <v>11</v>
      </c>
      <c r="D23" s="5" t="s">
        <v>30</v>
      </c>
      <c r="E23" s="1" t="s">
        <v>3</v>
      </c>
      <c r="F23">
        <v>131.13999999999999</v>
      </c>
      <c r="G23" s="3">
        <v>6000</v>
      </c>
      <c r="H23" s="2">
        <f>Borrar[[#This Row],[Area m2]]*Borrar[[#This Row],[Precio m2]]</f>
        <v>786839.99999999988</v>
      </c>
    </row>
    <row r="24" spans="1:8" x14ac:dyDescent="0.25">
      <c r="A24" s="5" t="s">
        <v>31</v>
      </c>
      <c r="B24" s="5">
        <v>1</v>
      </c>
      <c r="C24" s="5" t="s">
        <v>11</v>
      </c>
      <c r="D24" s="5" t="s">
        <v>31</v>
      </c>
      <c r="E24" s="1" t="s">
        <v>3</v>
      </c>
      <c r="F24">
        <v>123.81</v>
      </c>
      <c r="G24" s="3">
        <v>6000</v>
      </c>
      <c r="H24" s="2">
        <f>Borrar[[#This Row],[Area m2]]*Borrar[[#This Row],[Precio m2]]</f>
        <v>742860</v>
      </c>
    </row>
    <row r="25" spans="1:8" x14ac:dyDescent="0.25">
      <c r="A25" s="5" t="s">
        <v>32</v>
      </c>
      <c r="B25" s="5">
        <v>1</v>
      </c>
      <c r="C25" s="5" t="s">
        <v>11</v>
      </c>
      <c r="D25" s="5" t="s">
        <v>32</v>
      </c>
      <c r="E25" s="1" t="s">
        <v>3</v>
      </c>
      <c r="F25">
        <v>123.22</v>
      </c>
      <c r="G25" s="3">
        <v>6000</v>
      </c>
      <c r="H25" s="2">
        <f>Borrar[[#This Row],[Area m2]]*Borrar[[#This Row],[Precio m2]]</f>
        <v>739320</v>
      </c>
    </row>
    <row r="26" spans="1:8" x14ac:dyDescent="0.25">
      <c r="A26" s="5" t="s">
        <v>33</v>
      </c>
      <c r="B26" s="5">
        <v>1</v>
      </c>
      <c r="C26" s="5" t="s">
        <v>11</v>
      </c>
      <c r="D26" s="5" t="s">
        <v>33</v>
      </c>
      <c r="E26" s="1" t="s">
        <v>3</v>
      </c>
      <c r="F26">
        <v>122.79</v>
      </c>
      <c r="G26" s="3">
        <v>6000</v>
      </c>
      <c r="H26" s="2">
        <f>Borrar[[#This Row],[Area m2]]*Borrar[[#This Row],[Precio m2]]</f>
        <v>736740</v>
      </c>
    </row>
    <row r="27" spans="1:8" x14ac:dyDescent="0.25">
      <c r="A27" s="5" t="s">
        <v>34</v>
      </c>
      <c r="B27" s="5">
        <v>1</v>
      </c>
      <c r="C27" s="5" t="s">
        <v>11</v>
      </c>
      <c r="D27" s="5" t="s">
        <v>34</v>
      </c>
      <c r="E27" s="1" t="s">
        <v>2</v>
      </c>
      <c r="F27">
        <v>121.96</v>
      </c>
      <c r="G27" s="3">
        <v>6000</v>
      </c>
      <c r="H27" s="2">
        <f>Borrar[[#This Row],[Area m2]]*Borrar[[#This Row],[Precio m2]]</f>
        <v>731760</v>
      </c>
    </row>
    <row r="28" spans="1:8" x14ac:dyDescent="0.25">
      <c r="A28" s="5" t="s">
        <v>35</v>
      </c>
      <c r="B28" s="5">
        <v>1</v>
      </c>
      <c r="C28" s="5" t="s">
        <v>11</v>
      </c>
      <c r="D28" s="5" t="s">
        <v>35</v>
      </c>
      <c r="E28" s="1" t="s">
        <v>3</v>
      </c>
      <c r="F28">
        <v>122.8</v>
      </c>
      <c r="G28" s="3">
        <v>6000</v>
      </c>
      <c r="H28" s="2">
        <f>Borrar[[#This Row],[Area m2]]*Borrar[[#This Row],[Precio m2]]</f>
        <v>736800</v>
      </c>
    </row>
    <row r="29" spans="1:8" x14ac:dyDescent="0.25">
      <c r="A29" s="5" t="s">
        <v>36</v>
      </c>
      <c r="B29" s="5">
        <v>1</v>
      </c>
      <c r="C29" s="5" t="s">
        <v>11</v>
      </c>
      <c r="D29" s="5" t="s">
        <v>36</v>
      </c>
      <c r="E29" s="1" t="s">
        <v>3</v>
      </c>
      <c r="F29">
        <v>125.6</v>
      </c>
      <c r="G29" s="3">
        <v>6000</v>
      </c>
      <c r="H29" s="2">
        <f>Borrar[[#This Row],[Area m2]]*Borrar[[#This Row],[Precio m2]]</f>
        <v>753600</v>
      </c>
    </row>
    <row r="30" spans="1:8" x14ac:dyDescent="0.25">
      <c r="A30" s="5" t="s">
        <v>37</v>
      </c>
      <c r="B30" s="5">
        <v>1</v>
      </c>
      <c r="C30" s="5" t="s">
        <v>11</v>
      </c>
      <c r="D30" s="5" t="s">
        <v>37</v>
      </c>
      <c r="E30" s="1" t="s">
        <v>3</v>
      </c>
      <c r="F30">
        <v>132.22</v>
      </c>
      <c r="G30" s="3">
        <v>6000</v>
      </c>
      <c r="H30" s="2">
        <f>Borrar[[#This Row],[Area m2]]*Borrar[[#This Row],[Precio m2]]</f>
        <v>793320</v>
      </c>
    </row>
    <row r="31" spans="1:8" x14ac:dyDescent="0.25">
      <c r="A31" s="5" t="s">
        <v>38</v>
      </c>
      <c r="B31" s="5">
        <v>1</v>
      </c>
      <c r="C31" s="5" t="s">
        <v>11</v>
      </c>
      <c r="D31" s="5" t="s">
        <v>38</v>
      </c>
      <c r="E31" s="1" t="s">
        <v>3</v>
      </c>
      <c r="F31">
        <v>137.15</v>
      </c>
      <c r="G31" s="3">
        <v>6000</v>
      </c>
      <c r="H31" s="2">
        <f>Borrar[[#This Row],[Area m2]]*Borrar[[#This Row],[Precio m2]]</f>
        <v>822900</v>
      </c>
    </row>
    <row r="32" spans="1:8" x14ac:dyDescent="0.25">
      <c r="A32" s="5" t="s">
        <v>39</v>
      </c>
      <c r="B32" s="5">
        <v>1</v>
      </c>
      <c r="C32" s="5" t="s">
        <v>11</v>
      </c>
      <c r="D32" s="5" t="s">
        <v>39</v>
      </c>
      <c r="E32" s="1" t="s">
        <v>3</v>
      </c>
      <c r="F32">
        <v>149.46</v>
      </c>
      <c r="G32" s="3">
        <v>6000</v>
      </c>
      <c r="H32" s="2">
        <f>Borrar[[#This Row],[Area m2]]*Borrar[[#This Row],[Precio m2]]</f>
        <v>896760</v>
      </c>
    </row>
    <row r="33" spans="1:8" x14ac:dyDescent="0.25">
      <c r="A33" s="5" t="s">
        <v>40</v>
      </c>
      <c r="B33" s="5">
        <v>1</v>
      </c>
      <c r="C33" s="5" t="s">
        <v>11</v>
      </c>
      <c r="D33" s="5" t="s">
        <v>40</v>
      </c>
      <c r="E33" s="1" t="s">
        <v>3</v>
      </c>
      <c r="F33">
        <v>151.56</v>
      </c>
      <c r="G33" s="3">
        <v>6000</v>
      </c>
      <c r="H33" s="2">
        <f>Borrar[[#This Row],[Area m2]]*Borrar[[#This Row],[Precio m2]]</f>
        <v>909360</v>
      </c>
    </row>
    <row r="34" spans="1:8" x14ac:dyDescent="0.25">
      <c r="A34" s="5" t="s">
        <v>41</v>
      </c>
      <c r="B34" s="5">
        <v>1</v>
      </c>
      <c r="C34" s="5" t="s">
        <v>11</v>
      </c>
      <c r="D34" s="5" t="s">
        <v>41</v>
      </c>
      <c r="E34" s="1" t="s">
        <v>3</v>
      </c>
      <c r="F34">
        <v>151.88</v>
      </c>
      <c r="G34" s="3">
        <v>6000</v>
      </c>
      <c r="H34" s="2">
        <f>Borrar[[#This Row],[Area m2]]*Borrar[[#This Row],[Precio m2]]</f>
        <v>911280</v>
      </c>
    </row>
    <row r="35" spans="1:8" x14ac:dyDescent="0.25">
      <c r="A35" s="5" t="s">
        <v>42</v>
      </c>
      <c r="B35" s="5">
        <v>1</v>
      </c>
      <c r="C35" s="5" t="s">
        <v>11</v>
      </c>
      <c r="D35" s="5" t="s">
        <v>42</v>
      </c>
      <c r="E35" s="1" t="s">
        <v>3</v>
      </c>
      <c r="F35">
        <v>150.41999999999999</v>
      </c>
      <c r="G35" s="3">
        <v>6000</v>
      </c>
      <c r="H35" s="2">
        <f>Borrar[[#This Row],[Area m2]]*Borrar[[#This Row],[Precio m2]]</f>
        <v>902519.99999999988</v>
      </c>
    </row>
    <row r="36" spans="1:8" x14ac:dyDescent="0.25">
      <c r="A36" s="5" t="s">
        <v>43</v>
      </c>
      <c r="B36" s="6">
        <v>1</v>
      </c>
      <c r="C36" s="5" t="s">
        <v>11</v>
      </c>
      <c r="D36" s="5" t="s">
        <v>43</v>
      </c>
      <c r="E36" s="1" t="s">
        <v>3</v>
      </c>
      <c r="F36">
        <v>147.18</v>
      </c>
      <c r="G36" s="3">
        <v>6000</v>
      </c>
      <c r="H36" s="2">
        <f>Borrar[[#This Row],[Area m2]]*Borrar[[#This Row],[Precio m2]]</f>
        <v>883080</v>
      </c>
    </row>
    <row r="37" spans="1:8" x14ac:dyDescent="0.25">
      <c r="A37" s="5" t="s">
        <v>44</v>
      </c>
      <c r="B37" s="6">
        <v>1</v>
      </c>
      <c r="C37" s="5" t="s">
        <v>11</v>
      </c>
      <c r="D37" s="5" t="s">
        <v>44</v>
      </c>
      <c r="E37" s="1" t="s">
        <v>3</v>
      </c>
      <c r="F37">
        <v>142.15</v>
      </c>
      <c r="G37" s="3">
        <v>6000</v>
      </c>
      <c r="H37" s="2">
        <f>Borrar[[#This Row],[Area m2]]*Borrar[[#This Row],[Precio m2]]</f>
        <v>852900</v>
      </c>
    </row>
    <row r="38" spans="1:8" x14ac:dyDescent="0.25">
      <c r="A38" s="5" t="s">
        <v>45</v>
      </c>
      <c r="B38" s="6">
        <v>1</v>
      </c>
      <c r="C38" s="5" t="s">
        <v>11</v>
      </c>
      <c r="D38" s="5" t="s">
        <v>45</v>
      </c>
      <c r="E38" s="1" t="s">
        <v>3</v>
      </c>
      <c r="F38">
        <v>132.85</v>
      </c>
      <c r="G38" s="3">
        <v>6000</v>
      </c>
      <c r="H38" s="2">
        <f>Borrar[[#This Row],[Area m2]]*Borrar[[#This Row],[Precio m2]]</f>
        <v>797100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1026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42F9517-4BE2-4315-9997-7ED069B94F14}">
          <x14:formula1>
            <xm:f>'#Catalogs'!$A$3:$A$4</xm:f>
          </x14:formula1>
          <xm:sqref>E4:E38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94D46-EEDB-448A-A2D3-14B9E2D1EDD7}">
  <sheetPr codeName="Sheet2"/>
  <dimension ref="A2:A4"/>
  <sheetViews>
    <sheetView workbookViewId="0">
      <selection activeCell="A3" sqref="A3:A4"/>
    </sheetView>
  </sheetViews>
  <sheetFormatPr defaultRowHeight="15" x14ac:dyDescent="0.25"/>
  <cols>
    <col min="1" max="1" width="10.7109375" customWidth="1"/>
  </cols>
  <sheetData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D6BEC22-AFF3-45B4-859A-6D71E0F1D2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Olmos</vt:lpstr>
      <vt:lpstr>Sauceda</vt:lpstr>
      <vt:lpstr>#Catalogs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Uriel Gomez</dc:creator>
  <cp:lastModifiedBy>Uriel Gomez</cp:lastModifiedBy>
  <dcterms:created xsi:type="dcterms:W3CDTF">2022-04-28T16:45:26Z</dcterms:created>
  <dcterms:modified xsi:type="dcterms:W3CDTF">2023-06-26T22:08:08Z</dcterms:modified>
</cp:coreProperties>
</file>