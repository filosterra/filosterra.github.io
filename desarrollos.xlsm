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ersonal)\Proyectos\Filosterra\website\"/>
    </mc:Choice>
  </mc:AlternateContent>
  <xr:revisionPtr revIDLastSave="0" documentId="13_ncr:1_{F8A712D0-C89A-4D11-8A40-EC287F3572A4}" xr6:coauthVersionLast="47" xr6:coauthVersionMax="47" xr10:uidLastSave="{00000000-0000-0000-0000-000000000000}"/>
  <bookViews>
    <workbookView xWindow="-120" yWindow="-120" windowWidth="24240" windowHeight="13020" activeTab="1" xr2:uid="{AF5CDD77-3838-4710-9E18-77490520BFEC}"/>
  </bookViews>
  <sheets>
    <sheet name="Olmos" sheetId="4" r:id="rId1"/>
    <sheet name="Sauceda" sheetId="1" r:id="rId2"/>
    <sheet name="#Cata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4" l="1"/>
  <c r="H12" i="4"/>
  <c r="H11" i="4"/>
  <c r="H10" i="4"/>
  <c r="H9" i="4"/>
  <c r="H8" i="4"/>
  <c r="H7" i="4"/>
  <c r="H6" i="4"/>
  <c r="H5" i="4"/>
  <c r="H4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6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7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8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9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0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1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2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3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4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5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6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7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8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19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0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1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2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3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4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5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6" xr16:uid="{AC329AEA-9A10-4EEB-8F0B-2BEBDCF32964}" name="Sauceda2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<sst xmlns="http://schemas.openxmlformats.org/spreadsheetml/2006/main" count="173" uniqueCount="50">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</sst>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14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2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3" DataBindingLoadMode="1"/>
  </Map>
  <Map ID="7" Name="Map_Sauceda" RootElement="data" SchemaID="Schema2" ShowImportExportValidationErrors="false" AutoFit="true" Append="false" PreserveSortAFLayout="true" PreserveFormat="true">
    <DataBinding FileBinding="true" ConnectionID="2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8C43CD23-5025-4EB5-BE81-0CACEF731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28FA-FC4C-4C7D-94A9-BF713F80B7DB}" name="Borrar4" displayName="Borrar4" ref="A3:H13" tableType="xml" totalsRowShown="0" connectionId="13">
  <autoFilter ref="A3:H13" xr:uid="{B6F4573A-8CB9-4F04-8F16-AA6CA6F4BB1D}"/>
  <tableColumns count="8">
    <tableColumn id="1" xr3:uid="{AA61A0F2-1984-4A0C-A245-6E2911CEABE9}" uniqueName="Id" name="Id" dataDxfId="6">
      <xmlColumnPr mapId="8" xpath="/data/item/@Id" xmlDataType="integer"/>
    </tableColumn>
    <tableColumn id="9" xr3:uid="{4537E7AE-AEDD-4BE4-AF7F-D809E10890E6}" uniqueName="Etapa" name="Etapa" dataDxfId="5">
      <xmlColumnPr mapId="8" xpath="/data/item/@Etapa" xmlDataType="integer"/>
    </tableColumn>
    <tableColumn id="7" xr3:uid="{7E76F309-A101-4515-8A63-39281828727C}" uniqueName="Manzana" name="Manzana" dataDxfId="4">
      <xmlColumnPr mapId="8" xpath="/data/item/@Manzana" xmlDataType="integer"/>
    </tableColumn>
    <tableColumn id="6" xr3:uid="{25761776-A684-4440-A702-2684B5B525A8}" uniqueName="Lote" name="Lote" dataDxfId="3">
      <xmlColumnPr mapId="8" xpath="/data/item/@Lote" xmlDataType="string"/>
    </tableColumn>
    <tableColumn id="4" xr3:uid="{B39CB980-12B7-475A-9F71-0A7C7F2B9539}" uniqueName="Status" name="Estatus" dataDxfId="2">
      <xmlColumnPr mapId="8" xpath="/data/item/@Status" xmlDataType="string"/>
    </tableColumn>
    <tableColumn id="2" xr3:uid="{EF5E28D2-ECB2-45CB-BD0E-FFE312D02092}" uniqueName="Terreno" name="Area m2">
      <xmlColumnPr mapId="8" xpath="/data/item/@Terreno" xmlDataType="integer"/>
    </tableColumn>
    <tableColumn id="5" xr3:uid="{E44B38E8-F9F6-4AD1-9B06-6140EE1ACA07}" uniqueName="PrecioUnitario" name="Precio m2" dataDxfId="1">
      <xmlColumnPr mapId="8" xpath="/data/item/@PrecioUnitario" xmlDataType="integer"/>
    </tableColumn>
    <tableColumn id="3" xr3:uid="{1D4C772A-411B-407F-916A-A6C07C435E7D}" uniqueName="PrecioVenta" name="Precio venta" dataDxfId="0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6">
  <autoFilter ref="A3:H38" xr:uid="{B6F4573A-8CB9-4F04-8F16-AA6CA6F4BB1D}"/>
  <tableColumns count="8">
    <tableColumn id="1" xr3:uid="{41716C42-7DDA-4016-B841-2827C4E977D3}" uniqueName="Id" name="Id" dataDxfId="13">
      <xmlColumnPr mapId="7" xpath="/data/item/@Id" xmlDataType="integer"/>
    </tableColumn>
    <tableColumn id="9" xr3:uid="{8FE71FB5-C707-4B45-82C3-C2007E7019DD}" uniqueName="Etapa" name="Etapa" dataDxfId="12">
      <xmlColumnPr mapId="7" xpath="/data/item/@Etapa" xmlDataType="integer"/>
    </tableColumn>
    <tableColumn id="7" xr3:uid="{24F6FACA-C23A-4F64-B569-2D720EACAC61}" uniqueName="Manzana" name="Manzana" dataDxfId="11">
      <xmlColumnPr mapId="7" xpath="/data/item/@Manzana" xmlDataType="integer"/>
    </tableColumn>
    <tableColumn id="6" xr3:uid="{9B6130BE-EC29-4186-8C4C-AB84C0A37C8B}" uniqueName="Lote" name="Lote" dataDxfId="10">
      <xmlColumnPr mapId="7" xpath="/data/item/@Lote" xmlDataType="string"/>
    </tableColumn>
    <tableColumn id="4" xr3:uid="{9330E314-15C7-4EAF-8D8C-C2E5F6E9EEF0}" uniqueName="Status" name="Estatus" dataDxfId="9">
      <xmlColumnPr mapId="7" xpath="/data/item/@Status" xmlDataType="string"/>
    </tableColumn>
    <tableColumn id="2" xr3:uid="{1FEEF94B-2F36-4459-AC7F-77D583009438}" uniqueName="Terreno" name="Area m2">
      <xmlColumnPr mapId="7" xpath="/data/item/@Terreno" xmlDataType="double"/>
    </tableColumn>
    <tableColumn id="5" xr3:uid="{588AC0DF-D7CD-461B-B78E-1B65B0554A04}" uniqueName="PrecioUnitario" name="Precio m2" dataDxfId="8">
      <xmlColumnPr mapId="7" xpath="/data/item/@PrecioUnitario" xmlDataType="integer"/>
    </tableColumn>
    <tableColumn id="3" xr3:uid="{26BE7702-8448-451C-BB18-4203745813D7}" uniqueName="PrecioVenta" name="Precio venta" dataDxfId="7">
      <calculatedColumnFormula>Borrar[[#This Row],[Area m2]]*Borrar[[#This Row],[Precio m2]]</calculatedColumnFormula>
      <xmlColumnPr mapId="7" xpath="/data/item/@PrecioVenta" xmlDataType="integer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4" totalsRowShown="0">
  <autoFilter ref="A2:A4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8D55-596E-43A4-B3A7-F66676CB46B5}">
  <sheetPr codeName="Sheet3"/>
  <dimension ref="A1:H13"/>
  <sheetViews>
    <sheetView workbookViewId="0">
      <selection activeCell="B4" sqref="B4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3</v>
      </c>
      <c r="F4">
        <v>139.4</v>
      </c>
      <c r="G4" s="3">
        <v>6000</v>
      </c>
      <c r="H4" s="2">
        <f>Borrar4[[#This Row],[Area m2]]*Borrar4[[#This Row],[Precio m2]]</f>
        <v>836400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3</v>
      </c>
      <c r="F5">
        <v>139.47999999999999</v>
      </c>
      <c r="G5" s="3">
        <v>6000</v>
      </c>
      <c r="H5" s="2">
        <f>Borrar4[[#This Row],[Area m2]]*Borrar4[[#This Row],[Precio m2]]</f>
        <v>836879.99999999988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3</v>
      </c>
      <c r="F6">
        <v>139.44999999999999</v>
      </c>
      <c r="G6" s="3">
        <v>6000</v>
      </c>
      <c r="H6" s="2">
        <f>Borrar4[[#This Row],[Area m2]]*Borrar4[[#This Row],[Precio m2]]</f>
        <v>836699.99999999988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6000</v>
      </c>
      <c r="H7" s="2">
        <f>Borrar4[[#This Row],[Area m2]]*Borrar4[[#This Row],[Precio m2]]</f>
        <v>805140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3</v>
      </c>
      <c r="F8">
        <v>144.68</v>
      </c>
      <c r="G8" s="3">
        <v>6000</v>
      </c>
      <c r="H8" s="2">
        <f>Borrar4[[#This Row],[Area m2]]*Borrar4[[#This Row],[Precio m2]]</f>
        <v>868080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6000</v>
      </c>
      <c r="H9" s="2">
        <f>Borrar4[[#This Row],[Area m2]]*Borrar4[[#This Row],[Precio m2]]</f>
        <v>939960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3</v>
      </c>
      <c r="F10">
        <v>168.8</v>
      </c>
      <c r="G10" s="3">
        <v>6000</v>
      </c>
      <c r="H10" s="2">
        <f>Borrar4[[#This Row],[Area m2]]*Borrar4[[#This Row],[Precio m2]]</f>
        <v>1012800.0000000001</v>
      </c>
    </row>
    <row r="11" spans="1:8" x14ac:dyDescent="0.25">
      <c r="A11" s="5">
        <v>8</v>
      </c>
      <c r="B11" s="5">
        <v>1</v>
      </c>
      <c r="C11" s="5" t="s">
        <v>11</v>
      </c>
      <c r="D11" s="5" t="s">
        <v>18</v>
      </c>
      <c r="E11" s="1" t="s">
        <v>3</v>
      </c>
      <c r="F11">
        <v>128.46</v>
      </c>
      <c r="G11" s="3">
        <v>6000</v>
      </c>
      <c r="H11" s="2">
        <f>Borrar4[[#This Row],[Area m2]]*Borrar4[[#This Row],[Precio m2]]</f>
        <v>770760</v>
      </c>
    </row>
    <row r="12" spans="1:8" x14ac:dyDescent="0.25">
      <c r="A12" s="5">
        <v>9</v>
      </c>
      <c r="B12" s="5">
        <v>1</v>
      </c>
      <c r="C12" s="5" t="s">
        <v>11</v>
      </c>
      <c r="D12" s="5" t="s">
        <v>19</v>
      </c>
      <c r="E12" s="1" t="s">
        <v>3</v>
      </c>
      <c r="F12">
        <v>128.51</v>
      </c>
      <c r="G12" s="3">
        <v>6000</v>
      </c>
      <c r="H12" s="2">
        <f>Borrar4[[#This Row],[Area m2]]*Borrar4[[#This Row],[Precio m2]]</f>
        <v>771060</v>
      </c>
    </row>
    <row r="13" spans="1:8" x14ac:dyDescent="0.25">
      <c r="A13" s="5">
        <v>10</v>
      </c>
      <c r="B13" s="5">
        <v>1</v>
      </c>
      <c r="C13" s="5" t="s">
        <v>11</v>
      </c>
      <c r="D13" s="5" t="s">
        <v>20</v>
      </c>
      <c r="E13" s="1" t="s">
        <v>3</v>
      </c>
      <c r="F13">
        <v>138.29</v>
      </c>
      <c r="G13" s="3">
        <v>6000</v>
      </c>
      <c r="H13" s="2">
        <f>Borrar4[[#This Row],[Area m2]]*Borrar4[[#This Row],[Precio m2]]</f>
        <v>829740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24879A-EA38-480C-ABD5-76F11516311D}">
          <x14:formula1>
            <xm:f>'#Catalogs'!$A$3:$A$4</xm:f>
          </x14:formula1>
          <xm:sqref>E4:E13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tabSelected="1" topLeftCell="A8" workbookViewId="0">
      <selection activeCell="G4" sqref="G4:G38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t="s">
        <v>6</v>
      </c>
      <c r="E3" t="s">
        <v>5</v>
      </c>
      <c r="F3" t="s">
        <v>9</v>
      </c>
      <c r="G3" t="s">
        <v>4</v>
      </c>
      <c r="H3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3</v>
      </c>
      <c r="F4">
        <v>139.4</v>
      </c>
      <c r="G4" s="3">
        <v>6100</v>
      </c>
      <c r="H4" s="2">
        <f>Borrar[[#This Row],[Area m2]]*Borrar[[#This Row],[Precio m2]]</f>
        <v>850340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3</v>
      </c>
      <c r="F5">
        <v>139.47999999999999</v>
      </c>
      <c r="G5" s="3">
        <v>6100</v>
      </c>
      <c r="H5" s="2">
        <f>Borrar[[#This Row],[Area m2]]*Borrar[[#This Row],[Precio m2]]</f>
        <v>850827.99999999988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3</v>
      </c>
      <c r="F6">
        <v>139.44999999999999</v>
      </c>
      <c r="G6" s="3">
        <v>6100</v>
      </c>
      <c r="H6" s="2">
        <f>Borrar[[#This Row],[Area m2]]*Borrar[[#This Row],[Precio m2]]</f>
        <v>850644.99999999988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6100</v>
      </c>
      <c r="H7" s="2">
        <f>Borrar[[#This Row],[Area m2]]*Borrar[[#This Row],[Precio m2]]</f>
        <v>818559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3</v>
      </c>
      <c r="F8">
        <v>144.68</v>
      </c>
      <c r="G8" s="3">
        <v>6100</v>
      </c>
      <c r="H8" s="2">
        <f>Borrar[[#This Row],[Area m2]]*Borrar[[#This Row],[Precio m2]]</f>
        <v>882548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6100</v>
      </c>
      <c r="H9" s="2">
        <f>Borrar[[#This Row],[Area m2]]*Borrar[[#This Row],[Precio m2]]</f>
        <v>955626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3</v>
      </c>
      <c r="F10">
        <v>168.8</v>
      </c>
      <c r="G10" s="3">
        <v>6100</v>
      </c>
      <c r="H10" s="2">
        <f>Borrar[[#This Row],[Area m2]]*Borrar[[#This Row],[Precio m2]]</f>
        <v>1029680.0000000001</v>
      </c>
    </row>
    <row r="11" spans="1:8" x14ac:dyDescent="0.25">
      <c r="A11" s="5">
        <v>8</v>
      </c>
      <c r="B11" s="5">
        <v>1</v>
      </c>
      <c r="C11" s="5" t="s">
        <v>11</v>
      </c>
      <c r="D11" s="5" t="s">
        <v>18</v>
      </c>
      <c r="E11" s="1" t="s">
        <v>3</v>
      </c>
      <c r="F11">
        <v>128.46</v>
      </c>
      <c r="G11" s="3">
        <v>6100</v>
      </c>
      <c r="H11" s="2">
        <f>Borrar[[#This Row],[Area m2]]*Borrar[[#This Row],[Precio m2]]</f>
        <v>783606</v>
      </c>
    </row>
    <row r="12" spans="1:8" x14ac:dyDescent="0.25">
      <c r="A12" s="5">
        <v>9</v>
      </c>
      <c r="B12" s="5">
        <v>1</v>
      </c>
      <c r="C12" s="5" t="s">
        <v>11</v>
      </c>
      <c r="D12" s="5" t="s">
        <v>19</v>
      </c>
      <c r="E12" s="1" t="s">
        <v>3</v>
      </c>
      <c r="F12">
        <v>128.51</v>
      </c>
      <c r="G12" s="3">
        <v>6100</v>
      </c>
      <c r="H12" s="2">
        <f>Borrar[[#This Row],[Area m2]]*Borrar[[#This Row],[Precio m2]]</f>
        <v>783911</v>
      </c>
    </row>
    <row r="13" spans="1:8" x14ac:dyDescent="0.25">
      <c r="A13" s="5">
        <v>10</v>
      </c>
      <c r="B13" s="5">
        <v>1</v>
      </c>
      <c r="C13" s="5" t="s">
        <v>11</v>
      </c>
      <c r="D13" s="5" t="s">
        <v>20</v>
      </c>
      <c r="E13" s="1" t="s">
        <v>3</v>
      </c>
      <c r="F13">
        <v>138.29</v>
      </c>
      <c r="G13" s="3">
        <v>6100</v>
      </c>
      <c r="H13" s="2">
        <f>Borrar[[#This Row],[Area m2]]*Borrar[[#This Row],[Precio m2]]</f>
        <v>843569</v>
      </c>
    </row>
    <row r="14" spans="1:8" x14ac:dyDescent="0.25">
      <c r="A14" s="5">
        <v>11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6100</v>
      </c>
      <c r="H14" s="2">
        <f>Borrar[[#This Row],[Area m2]]*Borrar[[#This Row],[Precio m2]]</f>
        <v>876265</v>
      </c>
    </row>
    <row r="15" spans="1:8" x14ac:dyDescent="0.25">
      <c r="A15" s="5">
        <v>12</v>
      </c>
      <c r="B15" s="5">
        <v>1</v>
      </c>
      <c r="C15" s="5" t="s">
        <v>11</v>
      </c>
      <c r="D15" s="5" t="s">
        <v>22</v>
      </c>
      <c r="E15" s="1" t="s">
        <v>3</v>
      </c>
      <c r="F15">
        <v>148.1</v>
      </c>
      <c r="G15" s="3">
        <v>6100</v>
      </c>
      <c r="H15" s="2">
        <f>Borrar[[#This Row],[Area m2]]*Borrar[[#This Row],[Precio m2]]</f>
        <v>903410</v>
      </c>
    </row>
    <row r="16" spans="1:8" x14ac:dyDescent="0.25">
      <c r="A16" s="5">
        <v>13</v>
      </c>
      <c r="B16" s="5">
        <v>1</v>
      </c>
      <c r="C16" s="5" t="s">
        <v>11</v>
      </c>
      <c r="D16" s="5" t="s">
        <v>23</v>
      </c>
      <c r="E16" s="1" t="s">
        <v>3</v>
      </c>
      <c r="F16">
        <v>147.19999999999999</v>
      </c>
      <c r="G16" s="3">
        <v>6100</v>
      </c>
      <c r="H16" s="2">
        <f>Borrar[[#This Row],[Area m2]]*Borrar[[#This Row],[Precio m2]]</f>
        <v>897919.99999999988</v>
      </c>
    </row>
    <row r="17" spans="1:8" x14ac:dyDescent="0.25">
      <c r="A17" s="5">
        <v>14</v>
      </c>
      <c r="B17" s="5">
        <v>1</v>
      </c>
      <c r="C17" s="5" t="s">
        <v>11</v>
      </c>
      <c r="D17" s="5" t="s">
        <v>24</v>
      </c>
      <c r="E17" s="1" t="s">
        <v>3</v>
      </c>
      <c r="F17">
        <v>117.38</v>
      </c>
      <c r="G17" s="3">
        <v>6100</v>
      </c>
      <c r="H17" s="2">
        <f>Borrar[[#This Row],[Area m2]]*Borrar[[#This Row],[Precio m2]]</f>
        <v>716018</v>
      </c>
    </row>
    <row r="18" spans="1:8" x14ac:dyDescent="0.25">
      <c r="A18" s="5">
        <v>15</v>
      </c>
      <c r="B18" s="5">
        <v>1</v>
      </c>
      <c r="C18" s="5" t="s">
        <v>11</v>
      </c>
      <c r="D18" s="5" t="s">
        <v>25</v>
      </c>
      <c r="E18" s="1" t="s">
        <v>3</v>
      </c>
      <c r="F18">
        <v>117.6</v>
      </c>
      <c r="G18" s="3">
        <v>6100</v>
      </c>
      <c r="H18" s="2">
        <f>Borrar[[#This Row],[Area m2]]*Borrar[[#This Row],[Precio m2]]</f>
        <v>717360</v>
      </c>
    </row>
    <row r="19" spans="1:8" x14ac:dyDescent="0.25">
      <c r="A19" s="5">
        <v>16</v>
      </c>
      <c r="B19" s="5">
        <v>1</v>
      </c>
      <c r="C19" s="5" t="s">
        <v>11</v>
      </c>
      <c r="D19" s="5" t="s">
        <v>26</v>
      </c>
      <c r="E19" s="1" t="s">
        <v>3</v>
      </c>
      <c r="F19">
        <v>117.14</v>
      </c>
      <c r="G19" s="3">
        <v>6100</v>
      </c>
      <c r="H19" s="2">
        <f>Borrar[[#This Row],[Area m2]]*Borrar[[#This Row],[Precio m2]]</f>
        <v>714554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149.59</v>
      </c>
      <c r="G20" s="3">
        <v>6100</v>
      </c>
      <c r="H20" s="2">
        <f>Borrar[[#This Row],[Area m2]]*Borrar[[#This Row],[Precio m2]]</f>
        <v>912499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6100</v>
      </c>
      <c r="H21" s="2">
        <f>Borrar[[#This Row],[Area m2]]*Borrar[[#This Row],[Precio m2]]</f>
        <v>914207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6100</v>
      </c>
      <c r="H22" s="2">
        <f>Borrar[[#This Row],[Area m2]]*Borrar[[#This Row],[Precio m2]]</f>
        <v>803003.99999999988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6100</v>
      </c>
      <c r="H23" s="2">
        <f>Borrar[[#This Row],[Area m2]]*Borrar[[#This Row],[Precio m2]]</f>
        <v>799953.99999999988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6100</v>
      </c>
      <c r="H24" s="2">
        <f>Borrar[[#This Row],[Area m2]]*Borrar[[#This Row],[Precio m2]]</f>
        <v>755241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3</v>
      </c>
      <c r="F25">
        <v>123.22</v>
      </c>
      <c r="G25" s="3">
        <v>6100</v>
      </c>
      <c r="H25" s="2">
        <f>Borrar[[#This Row],[Area m2]]*Borrar[[#This Row],[Precio m2]]</f>
        <v>751642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3</v>
      </c>
      <c r="F26">
        <v>122.79</v>
      </c>
      <c r="G26" s="3">
        <v>6100</v>
      </c>
      <c r="H26" s="2">
        <f>Borrar[[#This Row],[Area m2]]*Borrar[[#This Row],[Precio m2]]</f>
        <v>749019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3</v>
      </c>
      <c r="F27">
        <v>121.96</v>
      </c>
      <c r="G27" s="3">
        <v>6100</v>
      </c>
      <c r="H27" s="2">
        <f>Borrar[[#This Row],[Area m2]]*Borrar[[#This Row],[Precio m2]]</f>
        <v>743956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3</v>
      </c>
      <c r="F28">
        <v>122.8</v>
      </c>
      <c r="G28" s="3">
        <v>6100</v>
      </c>
      <c r="H28" s="2">
        <f>Borrar[[#This Row],[Area m2]]*Borrar[[#This Row],[Precio m2]]</f>
        <v>749080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3</v>
      </c>
      <c r="F29">
        <v>125.6</v>
      </c>
      <c r="G29" s="3">
        <v>6100</v>
      </c>
      <c r="H29" s="2">
        <f>Borrar[[#This Row],[Area m2]]*Borrar[[#This Row],[Precio m2]]</f>
        <v>766160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3</v>
      </c>
      <c r="F30">
        <v>132.22</v>
      </c>
      <c r="G30" s="3">
        <v>6100</v>
      </c>
      <c r="H30" s="2">
        <f>Borrar[[#This Row],[Area m2]]*Borrar[[#This Row],[Precio m2]]</f>
        <v>806542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3</v>
      </c>
      <c r="F31">
        <v>137.15</v>
      </c>
      <c r="G31" s="3">
        <v>6100</v>
      </c>
      <c r="H31" s="2">
        <f>Borrar[[#This Row],[Area m2]]*Borrar[[#This Row],[Precio m2]]</f>
        <v>836615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3</v>
      </c>
      <c r="F32">
        <v>149.46</v>
      </c>
      <c r="G32" s="3">
        <v>6100</v>
      </c>
      <c r="H32" s="2">
        <f>Borrar[[#This Row],[Area m2]]*Borrar[[#This Row],[Precio m2]]</f>
        <v>911706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3</v>
      </c>
      <c r="F33">
        <v>151.56</v>
      </c>
      <c r="G33" s="3">
        <v>6100</v>
      </c>
      <c r="H33" s="2">
        <f>Borrar[[#This Row],[Area m2]]*Borrar[[#This Row],[Precio m2]]</f>
        <v>924516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3</v>
      </c>
      <c r="F34">
        <v>151.88</v>
      </c>
      <c r="G34" s="3">
        <v>6100</v>
      </c>
      <c r="H34" s="2">
        <f>Borrar[[#This Row],[Area m2]]*Borrar[[#This Row],[Precio m2]]</f>
        <v>926468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3</v>
      </c>
      <c r="F35">
        <v>150.41999999999999</v>
      </c>
      <c r="G35" s="3">
        <v>6100</v>
      </c>
      <c r="H35" s="2">
        <f>Borrar[[#This Row],[Area m2]]*Borrar[[#This Row],[Precio m2]]</f>
        <v>917561.99999999988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3</v>
      </c>
      <c r="F36">
        <v>147.18</v>
      </c>
      <c r="G36" s="3">
        <v>6100</v>
      </c>
      <c r="H36" s="2">
        <f>Borrar[[#This Row],[Area m2]]*Borrar[[#This Row],[Precio m2]]</f>
        <v>897798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3</v>
      </c>
      <c r="F37">
        <v>142.15</v>
      </c>
      <c r="G37" s="3">
        <v>6100</v>
      </c>
      <c r="H37" s="2">
        <f>Borrar[[#This Row],[Area m2]]*Borrar[[#This Row],[Precio m2]]</f>
        <v>867115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3</v>
      </c>
      <c r="F38">
        <v>132.85</v>
      </c>
      <c r="G38" s="3">
        <v>6100</v>
      </c>
      <c r="H38" s="2">
        <f>Borrar[[#This Row],[Area m2]]*Borrar[[#This Row],[Precio m2]]</f>
        <v>810385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4"/>
  <sheetViews>
    <sheetView workbookViewId="0">
      <selection activeCell="A3" sqref="A3:A4"/>
    </sheetView>
  </sheetViews>
  <sheetFormatPr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Olmos</vt:lpstr>
      <vt:lpstr>Sauceda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Uriel Gomez</cp:lastModifiedBy>
  <dcterms:created xsi:type="dcterms:W3CDTF">2022-04-28T16:45:26Z</dcterms:created>
  <dcterms:modified xsi:type="dcterms:W3CDTF">2023-06-12T20:26:07Z</dcterms:modified>
</cp:coreProperties>
</file>