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"/>
    </mc:Choice>
  </mc:AlternateContent>
  <xr:revisionPtr revIDLastSave="0" documentId="13_ncr:1_{5B4BE0A9-0C55-419E-B314-F925D3D1BB1E}" xr6:coauthVersionLast="47" xr6:coauthVersionMax="47" xr10:uidLastSave="{00000000-0000-0000-0000-000000000000}"/>
  <bookViews>
    <workbookView xWindow="23880" yWindow="-13455" windowWidth="16440" windowHeight="29040" xr2:uid="{AF5CDD77-3838-4710-9E18-77490520BFEC}"/>
  </bookViews>
  <sheets>
    <sheet name="Olmos" sheetId="4" r:id="rId1"/>
    <sheet name="Sauceda" sheetId="1" r:id="rId2"/>
    <sheet name="#Cata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4" l="1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7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<sst xmlns="http://schemas.openxmlformats.org/spreadsheetml/2006/main" count="236" uniqueCount="50">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</sst>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3">
  <autoFilter ref="A3:H35" xr:uid="{B6F4573A-8CB9-4F04-8F16-AA6CA6F4BB1D}"/>
  <tableColumns count="8">
    <tableColumn id="1" xr3:uid="{AA61A0F2-1984-4A0C-A245-6E2911CEABE9}" uniqueName="Id" name="Id" dataDxfId="13">
      <xmlColumnPr mapId="8" xpath="/data/item/@Id" xmlDataType="integer"/>
    </tableColumn>
    <tableColumn id="9" xr3:uid="{4537E7AE-AEDD-4BE4-AF7F-D809E10890E6}" uniqueName="Etapa" name="Etapa" dataDxfId="12">
      <xmlColumnPr mapId="8" xpath="/data/item/@Etapa" xmlDataType="integer"/>
    </tableColumn>
    <tableColumn id="7" xr3:uid="{7E76F309-A101-4515-8A63-39281828727C}" uniqueName="Manzana" name="Manzana" dataDxfId="11">
      <xmlColumnPr mapId="8" xpath="/data/item/@Manzana" xmlDataType="integer"/>
    </tableColumn>
    <tableColumn id="6" xr3:uid="{25761776-A684-4440-A702-2684B5B525A8}" uniqueName="Lote" name="Lote" dataDxfId="0">
      <xmlColumnPr mapId="8" xpath="/data/item/@Lote" xmlDataType="string"/>
    </tableColumn>
    <tableColumn id="4" xr3:uid="{B39CB980-12B7-475A-9F71-0A7C7F2B9539}" uniqueName="Status" name="Estatus" dataDxfId="10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9">
      <xmlColumnPr mapId="8" xpath="/data/item/@PrecioUnitario" xmlDataType="integer"/>
    </tableColumn>
    <tableColumn id="3" xr3:uid="{1D4C772A-411B-407F-916A-A6C07C435E7D}" uniqueName="PrecioVenta" name="Precio venta" dataDxfId="8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7">
  <autoFilter ref="A3:H38" xr:uid="{B6F4573A-8CB9-4F04-8F16-AA6CA6F4BB1D}"/>
  <tableColumns count="8">
    <tableColumn id="1" xr3:uid="{41716C42-7DDA-4016-B841-2827C4E977D3}" uniqueName="Id" name="Id" dataDxfId="7">
      <xmlColumnPr mapId="10" xpath="/data/item/@Id" xmlDataType="integer"/>
    </tableColumn>
    <tableColumn id="9" xr3:uid="{8FE71FB5-C707-4B45-82C3-C2007E7019DD}" uniqueName="Etapa" name="Etapa" dataDxfId="6">
      <xmlColumnPr mapId="10" xpath="/data/item/@Etapa" xmlDataType="integer"/>
    </tableColumn>
    <tableColumn id="7" xr3:uid="{24F6FACA-C23A-4F64-B569-2D720EACAC61}" uniqueName="Manzana" name="Manzana" dataDxfId="5">
      <xmlColumnPr mapId="10" xpath="/data/item/@Manzana" xmlDataType="integer"/>
    </tableColumn>
    <tableColumn id="6" xr3:uid="{9B6130BE-EC29-4186-8C4C-AB84C0A37C8B}" uniqueName="Lote" name="Lote" dataDxfId="4">
      <xmlColumnPr mapId="10" xpath="/data/item/@Lote" xmlDataType="string"/>
    </tableColumn>
    <tableColumn id="4" xr3:uid="{9330E314-15C7-4EAF-8D8C-C2E5F6E9EEF0}" uniqueName="Status" name="Estatus" dataDxfId="3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2">
      <xmlColumnPr mapId="10" xpath="/data/item/@PrecioUnitario" xmlDataType="integer"/>
    </tableColumn>
    <tableColumn id="3" xr3:uid="{26BE7702-8448-451C-BB18-4203745813D7}" uniqueName="PrecioVenta" name="Precio venta" dataDxfId="1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abSelected="1" workbookViewId="0">
      <selection activeCell="D27" sqref="D27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3</v>
      </c>
      <c r="F4">
        <v>152.36000000000001</v>
      </c>
      <c r="G4" s="3">
        <v>6000</v>
      </c>
      <c r="H4" s="2">
        <f>Borrar4[[#This Row],[Area m2]]*Borrar4[[#This Row],[Precio m2]]</f>
        <v>914160.00000000012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3</v>
      </c>
      <c r="F5">
        <v>150.62</v>
      </c>
      <c r="G5" s="3">
        <v>6000</v>
      </c>
      <c r="H5" s="2">
        <f>Borrar4[[#This Row],[Area m2]]*Borrar4[[#This Row],[Precio m2]]</f>
        <v>903720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3</v>
      </c>
      <c r="F6">
        <v>148.87</v>
      </c>
      <c r="G6" s="3">
        <v>6000</v>
      </c>
      <c r="H6" s="2">
        <f>Borrar4[[#This Row],[Area m2]]*Borrar4[[#This Row],[Precio m2]]</f>
        <v>893220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6000</v>
      </c>
      <c r="H7" s="2">
        <f>Borrar4[[#This Row],[Area m2]]*Borrar4[[#This Row],[Precio m2]]</f>
        <v>882720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3</v>
      </c>
      <c r="F8">
        <v>145.37</v>
      </c>
      <c r="G8" s="3">
        <v>6000</v>
      </c>
      <c r="H8" s="2">
        <f>Borrar4[[#This Row],[Area m2]]*Borrar4[[#This Row],[Precio m2]]</f>
        <v>872220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3</v>
      </c>
      <c r="F9">
        <v>143.62</v>
      </c>
      <c r="G9" s="3">
        <v>6000</v>
      </c>
      <c r="H9" s="2">
        <f>Borrar4[[#This Row],[Area m2]]*Borrar4[[#This Row],[Precio m2]]</f>
        <v>861720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3</v>
      </c>
      <c r="F10">
        <v>141.88</v>
      </c>
      <c r="G10" s="3">
        <v>6000</v>
      </c>
      <c r="H10" s="2">
        <f>Borrar4[[#This Row],[Area m2]]*Borrar4[[#This Row],[Precio m2]]</f>
        <v>851280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3</v>
      </c>
      <c r="F11">
        <v>140.13</v>
      </c>
      <c r="G11" s="3">
        <v>6000</v>
      </c>
      <c r="H11" s="2">
        <f>Borrar4[[#This Row],[Area m2]]*Borrar4[[#This Row],[Precio m2]]</f>
        <v>840780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3</v>
      </c>
      <c r="F12">
        <v>138.38</v>
      </c>
      <c r="G12" s="3">
        <v>6000</v>
      </c>
      <c r="H12" s="2">
        <f>Borrar4[[#This Row],[Area m2]]*Borrar4[[#This Row],[Precio m2]]</f>
        <v>830280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3</v>
      </c>
      <c r="F13">
        <v>136.63</v>
      </c>
      <c r="G13" s="3">
        <v>6000</v>
      </c>
      <c r="H13" s="2">
        <f>Borrar4[[#This Row],[Area m2]]*Borrar4[[#This Row],[Precio m2]]</f>
        <v>819780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6000</v>
      </c>
      <c r="H14" s="2">
        <f>Borrar4[[#This Row],[Area m2]]*Borrar4[[#This Row],[Precio m2]]</f>
        <v>809339.99999999988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3</v>
      </c>
      <c r="F15">
        <v>133.13999999999999</v>
      </c>
      <c r="G15" s="3">
        <v>6000</v>
      </c>
      <c r="H15" s="2">
        <f>Borrar4[[#This Row],[Area m2]]*Borrar4[[#This Row],[Precio m2]]</f>
        <v>798839.99999999988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3</v>
      </c>
      <c r="F16">
        <v>282.68</v>
      </c>
      <c r="G16" s="3">
        <v>6000</v>
      </c>
      <c r="H16" s="2">
        <f>Borrar4[[#This Row],[Area m2]]*Borrar4[[#This Row],[Precio m2]]</f>
        <v>1696080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3</v>
      </c>
      <c r="F17">
        <v>148.33000000000001</v>
      </c>
      <c r="G17" s="3">
        <v>6000</v>
      </c>
      <c r="H17" s="2">
        <f>Borrar4[[#This Row],[Area m2]]*Borrar4[[#This Row],[Precio m2]]</f>
        <v>889980.00000000012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3</v>
      </c>
      <c r="F18">
        <v>129.6</v>
      </c>
      <c r="G18" s="3">
        <v>6000</v>
      </c>
      <c r="H18" s="2">
        <f>Borrar4[[#This Row],[Area m2]]*Borrar4[[#This Row],[Precio m2]]</f>
        <v>777600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3</v>
      </c>
      <c r="F19">
        <v>129.6</v>
      </c>
      <c r="G19" s="3">
        <v>6000</v>
      </c>
      <c r="H19" s="2">
        <f>Borrar4[[#This Row],[Area m2]]*Borrar4[[#This Row],[Precio m2]]</f>
        <v>777600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3</v>
      </c>
      <c r="F20">
        <v>161.27000000000001</v>
      </c>
      <c r="G20" s="3">
        <v>6000</v>
      </c>
      <c r="H20" s="2">
        <f>Borrar4[[#This Row],[Area m2]]*Borrar4[[#This Row],[Precio m2]]</f>
        <v>967620.00000000012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3</v>
      </c>
      <c r="F21">
        <v>609.76</v>
      </c>
      <c r="G21" s="3">
        <v>6000</v>
      </c>
      <c r="H21" s="2">
        <f>Borrar4[[#This Row],[Area m2]]*Borrar4[[#This Row],[Precio m2]]</f>
        <v>3658560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6000</v>
      </c>
      <c r="H22" s="2">
        <f>Borrar4[[#This Row],[Area m2]]*Borrar4[[#This Row],[Precio m2]]</f>
        <v>1394400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6000</v>
      </c>
      <c r="H23" s="2">
        <f>Borrar4[[#This Row],[Area m2]]*Borrar4[[#This Row],[Precio m2]]</f>
        <v>1219740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6000</v>
      </c>
      <c r="H24" s="2">
        <f>Borrar4[[#This Row],[Area m2]]*Borrar4[[#This Row],[Precio m2]]</f>
        <v>808320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3</v>
      </c>
      <c r="F25">
        <v>136.33000000000001</v>
      </c>
      <c r="G25" s="3">
        <v>6000</v>
      </c>
      <c r="H25" s="2">
        <f>Borrar4[[#This Row],[Area m2]]*Borrar4[[#This Row],[Precio m2]]</f>
        <v>817980.00000000012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6000</v>
      </c>
      <c r="H26" s="2">
        <f>Borrar4[[#This Row],[Area m2]]*Borrar4[[#This Row],[Precio m2]]</f>
        <v>824940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6000</v>
      </c>
      <c r="H27" s="2">
        <f>Borrar4[[#This Row],[Area m2]]*Borrar4[[#This Row],[Precio m2]]</f>
        <v>831900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6000</v>
      </c>
      <c r="H28" s="2">
        <f>Borrar4[[#This Row],[Area m2]]*Borrar4[[#This Row],[Precio m2]]</f>
        <v>838860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6000</v>
      </c>
      <c r="H29" s="2">
        <f>Borrar4[[#This Row],[Area m2]]*Borrar4[[#This Row],[Precio m2]]</f>
        <v>845820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6000</v>
      </c>
      <c r="H30" s="2">
        <f>Borrar4[[#This Row],[Area m2]]*Borrar4[[#This Row],[Precio m2]]</f>
        <v>852780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6000</v>
      </c>
      <c r="H31" s="2">
        <f>Borrar4[[#This Row],[Area m2]]*Borrar4[[#This Row],[Precio m2]]</f>
        <v>859740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6000</v>
      </c>
      <c r="H32" s="2">
        <f>Borrar4[[#This Row],[Area m2]]*Borrar4[[#This Row],[Precio m2]]</f>
        <v>866699.99999999988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6000</v>
      </c>
      <c r="H33" s="2">
        <f>Borrar4[[#This Row],[Area m2]]*Borrar4[[#This Row],[Precio m2]]</f>
        <v>873720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6000</v>
      </c>
      <c r="H34" s="2">
        <f>Borrar4[[#This Row],[Area m2]]*Borrar4[[#This Row],[Precio m2]]</f>
        <v>879180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6000</v>
      </c>
      <c r="H35" s="2">
        <f>Borrar4[[#This Row],[Area m2]]*Borrar4[[#This Row],[Precio m2]]</f>
        <v>1016339.9999999999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workbookViewId="0">
      <selection activeCell="B4" sqref="B4:B3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Borrar[[#This Row],[Area m2]]*Borrar[[#This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Borrar[[#This Row],[Area m2]]*Borrar[[#This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Borrar[[#This Row],[Area m2]]*Borrar[[#This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Borrar[[#This Row],[Area m2]]*Borrar[[#This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Borrar[[#This Row],[Area m2]]*Borrar[[#This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Borrar[[#This Row],[Area m2]]*Borrar[[#This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Borrar[[#This Row],[Area m2]]*Borrar[[#This Row],[Precio m2]]</f>
        <v>1012800.0000000001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Borrar[[#This Row],[Area m2]]*Borrar[[#This Row],[Precio m2]]</f>
        <v>770760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Borrar[[#This Row],[Area m2]]*Borrar[[#This Row],[Precio m2]]</f>
        <v>771060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Borrar[[#This Row],[Area m2]]*Borrar[[#This Row],[Precio m2]]</f>
        <v>829740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6000</v>
      </c>
      <c r="H14" s="2">
        <f>Borrar[[#This Row],[Area m2]]*Borrar[[#This Row],[Precio m2]]</f>
        <v>861900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6000</v>
      </c>
      <c r="H15" s="2">
        <f>Borrar[[#This Row],[Area m2]]*Borrar[[#This Row],[Precio m2]]</f>
        <v>888600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3</v>
      </c>
      <c r="F16">
        <v>147.19999999999999</v>
      </c>
      <c r="G16" s="3">
        <v>6000</v>
      </c>
      <c r="H16" s="2">
        <f>Borrar[[#This Row],[Area m2]]*Borrar[[#This Row],[Precio m2]]</f>
        <v>883199.99999999988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3</v>
      </c>
      <c r="F17">
        <v>117.38</v>
      </c>
      <c r="G17" s="3">
        <v>6000</v>
      </c>
      <c r="H17" s="2">
        <f>Borrar[[#This Row],[Area m2]]*Borrar[[#This Row],[Precio m2]]</f>
        <v>704280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3</v>
      </c>
      <c r="F18">
        <v>117.6</v>
      </c>
      <c r="G18" s="3">
        <v>6000</v>
      </c>
      <c r="H18" s="2">
        <f>Borrar[[#This Row],[Area m2]]*Borrar[[#This Row],[Precio m2]]</f>
        <v>705600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3</v>
      </c>
      <c r="F19">
        <v>117.14</v>
      </c>
      <c r="G19" s="3">
        <v>6000</v>
      </c>
      <c r="H19" s="2">
        <f>Borrar[[#This Row],[Area m2]]*Borrar[[#This Row],[Precio m2]]</f>
        <v>702840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149.59</v>
      </c>
      <c r="G20" s="3">
        <v>6000</v>
      </c>
      <c r="H20" s="2">
        <f>Borrar[[#This Row],[Area m2]]*Borrar[[#This Row],[Precio m2]]</f>
        <v>897540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6000</v>
      </c>
      <c r="H21" s="2">
        <f>Borrar[[#This Row],[Area m2]]*Borrar[[#This Row],[Precio m2]]</f>
        <v>899220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6000</v>
      </c>
      <c r="H22" s="2">
        <f>Borrar[[#This Row],[Area m2]]*Borrar[[#This Row],[Precio m2]]</f>
        <v>789839.99999999988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6000</v>
      </c>
      <c r="H23" s="2">
        <f>Borrar[[#This Row],[Area m2]]*Borrar[[#This Row],[Precio m2]]</f>
        <v>786839.99999999988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6000</v>
      </c>
      <c r="H24" s="2">
        <f>Borrar[[#This Row],[Area m2]]*Borrar[[#This Row],[Precio m2]]</f>
        <v>742860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6000</v>
      </c>
      <c r="H25" s="2">
        <f>Borrar[[#This Row],[Area m2]]*Borrar[[#This Row],[Precio m2]]</f>
        <v>739320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3</v>
      </c>
      <c r="F26">
        <v>122.79</v>
      </c>
      <c r="G26" s="3">
        <v>6000</v>
      </c>
      <c r="H26" s="2">
        <f>Borrar[[#This Row],[Area m2]]*Borrar[[#This Row],[Precio m2]]</f>
        <v>736740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6000</v>
      </c>
      <c r="H27" s="2">
        <f>Borrar[[#This Row],[Area m2]]*Borrar[[#This Row],[Precio m2]]</f>
        <v>731760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3</v>
      </c>
      <c r="F28">
        <v>122.8</v>
      </c>
      <c r="G28" s="3">
        <v>6000</v>
      </c>
      <c r="H28" s="2">
        <f>Borrar[[#This Row],[Area m2]]*Borrar[[#This Row],[Precio m2]]</f>
        <v>736800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3</v>
      </c>
      <c r="F29">
        <v>125.6</v>
      </c>
      <c r="G29" s="3">
        <v>6000</v>
      </c>
      <c r="H29" s="2">
        <f>Borrar[[#This Row],[Area m2]]*Borrar[[#This Row],[Precio m2]]</f>
        <v>753600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3</v>
      </c>
      <c r="F30">
        <v>132.22</v>
      </c>
      <c r="G30" s="3">
        <v>6000</v>
      </c>
      <c r="H30" s="2">
        <f>Borrar[[#This Row],[Area m2]]*Borrar[[#This Row],[Precio m2]]</f>
        <v>793320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3</v>
      </c>
      <c r="F31">
        <v>137.15</v>
      </c>
      <c r="G31" s="3">
        <v>6000</v>
      </c>
      <c r="H31" s="2">
        <f>Borrar[[#This Row],[Area m2]]*Borrar[[#This Row],[Precio m2]]</f>
        <v>822900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3</v>
      </c>
      <c r="F32">
        <v>149.46</v>
      </c>
      <c r="G32" s="3">
        <v>6000</v>
      </c>
      <c r="H32" s="2">
        <f>Borrar[[#This Row],[Area m2]]*Borrar[[#This Row],[Precio m2]]</f>
        <v>896760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3</v>
      </c>
      <c r="F33">
        <v>151.56</v>
      </c>
      <c r="G33" s="3">
        <v>6000</v>
      </c>
      <c r="H33" s="2">
        <f>Borrar[[#This Row],[Area m2]]*Borrar[[#This Row],[Precio m2]]</f>
        <v>909360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3</v>
      </c>
      <c r="F34">
        <v>151.88</v>
      </c>
      <c r="G34" s="3">
        <v>6000</v>
      </c>
      <c r="H34" s="2">
        <f>Borrar[[#This Row],[Area m2]]*Borrar[[#This Row],[Precio m2]]</f>
        <v>911280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3</v>
      </c>
      <c r="F35">
        <v>150.41999999999999</v>
      </c>
      <c r="G35" s="3">
        <v>6000</v>
      </c>
      <c r="H35" s="2">
        <f>Borrar[[#This Row],[Area m2]]*Borrar[[#This Row],[Precio m2]]</f>
        <v>902519.99999999988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3</v>
      </c>
      <c r="F36">
        <v>147.18</v>
      </c>
      <c r="G36" s="3">
        <v>6000</v>
      </c>
      <c r="H36" s="2">
        <f>Borrar[[#This Row],[Area m2]]*Borrar[[#This Row],[Precio m2]]</f>
        <v>883080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3</v>
      </c>
      <c r="F37">
        <v>142.15</v>
      </c>
      <c r="G37" s="3">
        <v>6000</v>
      </c>
      <c r="H37" s="2">
        <f>Borrar[[#This Row],[Area m2]]*Borrar[[#This Row],[Precio m2]]</f>
        <v>852900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3</v>
      </c>
      <c r="F38">
        <v>132.85</v>
      </c>
      <c r="G38" s="3">
        <v>6000</v>
      </c>
      <c r="H38" s="2">
        <f>Borrar[[#This Row],[Area m2]]*Borrar[[#This Row],[Precio m2]]</f>
        <v>797100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2023-06-19T16:55:16Z</dcterms:modified>
</cp:coreProperties>
</file>